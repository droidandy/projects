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6320" yWindow="780" windowWidth="27280" windowHeight="17540" tabRatio="999" activeTab="1"/>
  </bookViews>
  <sheets>
    <sheet name="UW" sheetId="3" r:id="rId1"/>
    <sheet name="INTAKE" sheetId="1" r:id="rId2"/>
    <sheet name="SIC Look Up" sheetId="18" state="hidden" r:id="rId3"/>
    <sheet name="EXHIBIT 3 TIER" sheetId="26" state="hidden" r:id="rId4"/>
    <sheet name="EXHIBIT 4 TIER" sheetId="4" r:id="rId5"/>
    <sheet name="RB RATES" sheetId="23" state="hidden" r:id="rId6"/>
    <sheet name="PLANS" sheetId="5" r:id="rId7"/>
    <sheet name="DENTAL INTAKE" sheetId="6" r:id="rId8"/>
    <sheet name="CALC" sheetId="17" state="hidden" r:id="rId9"/>
    <sheet name="PART ADJ" sheetId="19" state="hidden" r:id="rId10"/>
    <sheet name="PART ADJ 2" sheetId="20" state="hidden" r:id="rId11"/>
    <sheet name="CODE" sheetId="22" state="hidden" r:id="rId12"/>
    <sheet name="ANCILLARY EXHIBIT" sheetId="15" r:id="rId13"/>
    <sheet name="PROPOSAL" sheetId="7" state="hidden" r:id="rId14"/>
    <sheet name="ABF" sheetId="8" r:id="rId15"/>
    <sheet name="AHM" sheetId="9" r:id="rId16"/>
    <sheet name="SOLD PLANS CONFIRMATION" sheetId="24" state="hidden" r:id="rId17"/>
    <sheet name="CONTACTS" sheetId="11" r:id="rId18"/>
  </sheets>
  <externalReferences>
    <externalReference r:id="rId19"/>
    <externalReference r:id="rId20"/>
    <externalReference r:id="rId21"/>
  </externalReferences>
  <definedNames>
    <definedName name="Ann.Max.Carry.1" localSheetId="12" hidden="1">#REF!</definedName>
    <definedName name="Ann.Max.Carry.1" localSheetId="8" hidden="1">#REF!</definedName>
    <definedName name="Ann.Max.Carry.1" localSheetId="3" hidden="1">#REF!</definedName>
    <definedName name="Ann.Max.Carry.1" hidden="1">#REF!</definedName>
    <definedName name="Ann.Max.Carry11">'DENTAL INTAKE'!$C$53</definedName>
    <definedName name="Ann.Max.Carry12">'DENTAL INTAKE'!$E$53</definedName>
    <definedName name="Ann.Max.Carry21">'DENTAL INTAKE'!$C$91</definedName>
    <definedName name="Ann.Max.Carry22">'DENTAL INTAKE'!$E$91</definedName>
    <definedName name="Ann.Max.Carry31">'DENTAL INTAKE'!$C$129</definedName>
    <definedName name="Ann.Max.Carry32">'DENTAL INTAKE'!$E$129</definedName>
    <definedName name="Ann.Max.In.1" localSheetId="12" hidden="1">#REF!</definedName>
    <definedName name="Ann.Max.In.1" localSheetId="8" hidden="1">#REF!</definedName>
    <definedName name="Ann.Max.In.1" localSheetId="3" hidden="1">#REF!</definedName>
    <definedName name="Ann.Max.In.1" hidden="1">#REF!</definedName>
    <definedName name="Ann.Max.In11">'DENTAL INTAKE'!$C$52</definedName>
    <definedName name="Ann.Max.In12">'DENTAL INTAKE'!$E$52</definedName>
    <definedName name="Ann.Max.In21">'DENTAL INTAKE'!$C$90</definedName>
    <definedName name="Ann.Max.In22">'DENTAL INTAKE'!$E$90</definedName>
    <definedName name="Ann.Max.In31">'DENTAL INTAKE'!$C$128</definedName>
    <definedName name="Ann.Max.In32">'DENTAL INTAKE'!$E$128</definedName>
    <definedName name="Ann.Max.Out.1" localSheetId="12" hidden="1">#REF!</definedName>
    <definedName name="Ann.Max.Out.1" localSheetId="8" hidden="1">#REF!</definedName>
    <definedName name="Ann.Max.Out.1" localSheetId="3" hidden="1">#REF!</definedName>
    <definedName name="Ann.Max.Out.1" hidden="1">#REF!</definedName>
    <definedName name="Ann.Max.Out11">'DENTAL INTAKE'!$D$52</definedName>
    <definedName name="Ann.Max.Out12">'DENTAL INTAKE'!$F$52</definedName>
    <definedName name="Ann.Max.Out21">'DENTAL INTAKE'!$D$90</definedName>
    <definedName name="Ann.Max.Out22">'DENTAL INTAKE'!$F$90</definedName>
    <definedName name="Ann.Max.Out31">'DENTAL INTAKE'!$D$128</definedName>
    <definedName name="Ann.Max.Out32">'DENTAL INTAKE'!$F$128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2" hidden="1">#REF!</definedName>
    <definedName name="Auto.Fill.1" localSheetId="8" hidden="1">#REF!</definedName>
    <definedName name="Auto.Fill.1" localSheetId="3" hidden="1">#REF!</definedName>
    <definedName name="Auto.Fill.1" hidden="1">#REF!</definedName>
    <definedName name="Auto.Fill.2" localSheetId="12" hidden="1">#REF!</definedName>
    <definedName name="Auto.Fill.2" localSheetId="8" hidden="1">#REF!</definedName>
    <definedName name="Auto.Fill.2" localSheetId="3" hidden="1">#REF!</definedName>
    <definedName name="Auto.Fill.2" hidden="1">#REF!</definedName>
    <definedName name="Auto.Fill.3" localSheetId="12" hidden="1">#REF!</definedName>
    <definedName name="Auto.Fill.3" localSheetId="8" hidden="1">#REF!</definedName>
    <definedName name="Auto.Fill.3" localSheetId="3" hidden="1">#REF!</definedName>
    <definedName name="Auto.Fill.3" hidden="1">#REF!</definedName>
    <definedName name="Basic.In" localSheetId="12" hidden="1">#REF!</definedName>
    <definedName name="Basic.In" localSheetId="8" hidden="1">#REF!</definedName>
    <definedName name="Basic.In.1.2" localSheetId="12" hidden="1">#REF!</definedName>
    <definedName name="Basic.In.1.2" localSheetId="8" hidden="1">#REF!</definedName>
    <definedName name="Basic.In.1.2" localSheetId="3" hidden="1">#REF!</definedName>
    <definedName name="Basic.In.1.2" hidden="1">#REF!</definedName>
    <definedName name="Basic.In11">'DENTAL INTAKE'!$C$35:$C$38</definedName>
    <definedName name="Basic.In12">'DENTAL INTAKE'!$E$35</definedName>
    <definedName name="Basic.In21">'DENTAL INTAKE'!$C$73</definedName>
    <definedName name="Basic.In22">'DENTAL INTAKE'!$E$73</definedName>
    <definedName name="Basic.In31">'DENTAL INTAKE'!$C$111</definedName>
    <definedName name="Basic.In32">'DENTAL INTAKE'!$E$111</definedName>
    <definedName name="Basic.Major.Wait.Range" hidden="1">[1]Data!$EP$21:$EP$36</definedName>
    <definedName name="Basic.Major.Wait.Selection" hidden="1">[1]Data!$EP$2</definedName>
    <definedName name="Basic.Out" localSheetId="12" hidden="1">#REF!</definedName>
    <definedName name="Basic.Out" localSheetId="8" hidden="1">#REF!</definedName>
    <definedName name="Basic.Out.1.2" localSheetId="12" hidden="1">#REF!</definedName>
    <definedName name="Basic.Out.1.2" localSheetId="8" hidden="1">#REF!</definedName>
    <definedName name="Basic.Out.1.2" localSheetId="3" hidden="1">#REF!</definedName>
    <definedName name="Basic.Out.1.2" hidden="1">#REF!</definedName>
    <definedName name="Basic.Out11">'DENTAL INTAKE'!$D$35:$D$38</definedName>
    <definedName name="Basic.Out12">'DENTAL INTAKE'!$F$35</definedName>
    <definedName name="Basic.Out21">'DENTAL INTAKE'!$D$73</definedName>
    <definedName name="Basic.Out22">'DENTAL INTAKE'!$F$73</definedName>
    <definedName name="Basic.Out31">'DENTAL INTAKE'!$D$111</definedName>
    <definedName name="Basic.Out32">'DENTAL INTAKE'!$F$111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2" hidden="1">#REF!</definedName>
    <definedName name="Basic.Wait.Period.1" localSheetId="8" hidden="1">#REF!</definedName>
    <definedName name="Basic.Wait.Period.1" localSheetId="3" hidden="1">#REF!</definedName>
    <definedName name="Basic.Wait.Period.1" hidden="1">#REF!</definedName>
    <definedName name="Basic.Wait.Period.1.2" localSheetId="12" hidden="1">#REF!</definedName>
    <definedName name="Basic.Wait.Period.1.2" localSheetId="8" hidden="1">#REF!</definedName>
    <definedName name="Basic.Wait.Period.1.2" localSheetId="3" hidden="1">#REF!</definedName>
    <definedName name="Basic.Wait.Period.1.2" hidden="1">#REF!</definedName>
    <definedName name="Basic.Wait.Period.2.1" localSheetId="12" hidden="1">#REF!</definedName>
    <definedName name="Basic.Wait.Period.2.1" localSheetId="8" hidden="1">#REF!</definedName>
    <definedName name="Basic.Wait.Period.2.1" localSheetId="3" hidden="1">#REF!</definedName>
    <definedName name="Basic.Wait.Period.2.1" hidden="1">#REF!</definedName>
    <definedName name="Basic.Wait.Period.2.2" localSheetId="12" hidden="1">#REF!</definedName>
    <definedName name="Basic.Wait.Period.2.2" localSheetId="8" hidden="1">#REF!</definedName>
    <definedName name="Basic.Wait.Period.2.2" localSheetId="3" hidden="1">#REF!</definedName>
    <definedName name="Basic.Wait.Period.2.2" hidden="1">#REF!</definedName>
    <definedName name="Basic.Wait.Period.3.1" localSheetId="12" hidden="1">#REF!</definedName>
    <definedName name="Basic.Wait.Period.3.1" localSheetId="8" hidden="1">#REF!</definedName>
    <definedName name="Basic.Wait.Period.3.1" localSheetId="3" hidden="1">#REF!</definedName>
    <definedName name="Basic.Wait.Period.3.1" hidden="1">#REF!</definedName>
    <definedName name="Basic.Wait.Period.3.2" localSheetId="12" hidden="1">#REF!</definedName>
    <definedName name="Basic.Wait.Period.3.2" localSheetId="8" hidden="1">#REF!</definedName>
    <definedName name="Basic.Wait.Period.3.2" localSheetId="3" hidden="1">#REF!</definedName>
    <definedName name="Basic.Wait.Period.3.2" hidden="1">#REF!</definedName>
    <definedName name="Basic.Waive.1" localSheetId="12" hidden="1">#REF!</definedName>
    <definedName name="Basic.Waive.1" localSheetId="8" hidden="1">#REF!</definedName>
    <definedName name="Basic.Waive.1" localSheetId="3" hidden="1">#REF!</definedName>
    <definedName name="Basic.Waive.1" hidden="1">#REF!</definedName>
    <definedName name="Basic.Waive.1.2" localSheetId="12" hidden="1">#REF!</definedName>
    <definedName name="Basic.Waive.1.2" localSheetId="8" hidden="1">#REF!</definedName>
    <definedName name="Basic.Waive.1.2" localSheetId="3" hidden="1">#REF!</definedName>
    <definedName name="Basic.Waive.1.2" hidden="1">#REF!</definedName>
    <definedName name="Basic.Waive.2.1" localSheetId="12" hidden="1">#REF!</definedName>
    <definedName name="Basic.Waive.2.1" localSheetId="8" hidden="1">#REF!</definedName>
    <definedName name="Basic.Waive.2.1" localSheetId="3" hidden="1">#REF!</definedName>
    <definedName name="Basic.Waive.2.1" hidden="1">#REF!</definedName>
    <definedName name="Basic.Waive.2.2" localSheetId="12" hidden="1">#REF!</definedName>
    <definedName name="Basic.Waive.2.2" localSheetId="8" hidden="1">#REF!</definedName>
    <definedName name="Basic.Waive.2.2" localSheetId="3" hidden="1">#REF!</definedName>
    <definedName name="Basic.Waive.2.2" hidden="1">#REF!</definedName>
    <definedName name="Basic.Waive.3.1" localSheetId="12" hidden="1">#REF!</definedName>
    <definedName name="Basic.Waive.3.1" localSheetId="8" hidden="1">#REF!</definedName>
    <definedName name="Basic.Waive.3.1" localSheetId="3" hidden="1">#REF!</definedName>
    <definedName name="Basic.Waive.3.1" hidden="1">#REF!</definedName>
    <definedName name="Basic.Waive.3.2" localSheetId="12" hidden="1">#REF!</definedName>
    <definedName name="Basic.Waive.3.2" localSheetId="8" hidden="1">#REF!</definedName>
    <definedName name="Basic.Waive.3.2" localSheetId="3"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2" hidden="1">#REF!</definedName>
    <definedName name="Coins.1.2" localSheetId="8" hidden="1">#REF!</definedName>
    <definedName name="Coins.1.2" localSheetId="3" hidden="1">#REF!</definedName>
    <definedName name="Coins.1.2" hidden="1">#REF!</definedName>
    <definedName name="Coins1.1" localSheetId="12" hidden="1">#REF!</definedName>
    <definedName name="Coins1.1" localSheetId="8" hidden="1">#REF!</definedName>
    <definedName name="Coins1.1" localSheetId="3" hidden="1">#REF!</definedName>
    <definedName name="Coins1.1" hidden="1">#REF!</definedName>
    <definedName name="Coins2.1" localSheetId="12" hidden="1">#REF!</definedName>
    <definedName name="Coins2.1" localSheetId="8" hidden="1">#REF!</definedName>
    <definedName name="Coins2.1" localSheetId="3" hidden="1">#REF!</definedName>
    <definedName name="Coins2.1" hidden="1">#REF!</definedName>
    <definedName name="Coins2.2" localSheetId="12" hidden="1">#REF!</definedName>
    <definedName name="Coins2.2" localSheetId="8" hidden="1">#REF!</definedName>
    <definedName name="Coins2.2" localSheetId="3" hidden="1">#REF!</definedName>
    <definedName name="Coins2.2" hidden="1">#REF!</definedName>
    <definedName name="Coins3.1" localSheetId="12" hidden="1">#REF!</definedName>
    <definedName name="Coins3.1" localSheetId="8" hidden="1">#REF!</definedName>
    <definedName name="Coins3.1" localSheetId="3" hidden="1">#REF!</definedName>
    <definedName name="Coins3.1" hidden="1">#REF!</definedName>
    <definedName name="Coins3.2" localSheetId="12" hidden="1">#REF!</definedName>
    <definedName name="Coins3.2" localSheetId="8" hidden="1">#REF!</definedName>
    <definedName name="Coins3.2" localSheetId="3"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2" hidden="1">#REF!</definedName>
    <definedName name="Ded.Fam.In.1" localSheetId="8" hidden="1">#REF!</definedName>
    <definedName name="Ded.Fam.In.1" localSheetId="3" hidden="1">#REF!</definedName>
    <definedName name="Ded.Fam.In.1" hidden="1">#REF!</definedName>
    <definedName name="Ded.Fam.In11">'DENTAL INTAKE'!$C$50</definedName>
    <definedName name="Ded.Fam.In12">'DENTAL INTAKE'!$E$50</definedName>
    <definedName name="Ded.Fam.In21">'DENTAL INTAKE'!$C$88</definedName>
    <definedName name="Ded.Fam.In22">'DENTAL INTAKE'!$E$88</definedName>
    <definedName name="Ded.Fam.In31">'DENTAL INTAKE'!$C$126</definedName>
    <definedName name="Ded.Fam.In32">'DENTAL INTAKE'!$E$126</definedName>
    <definedName name="Ded.Fam.Out.1" localSheetId="12" hidden="1">#REF!</definedName>
    <definedName name="Ded.Fam.Out.1" localSheetId="8" hidden="1">#REF!</definedName>
    <definedName name="Ded.Fam.Out.1" localSheetId="3" hidden="1">#REF!</definedName>
    <definedName name="Ded.Fam.Out.1" hidden="1">#REF!</definedName>
    <definedName name="Ded.Fam.Out11">'DENTAL INTAKE'!$D$50</definedName>
    <definedName name="Ded.Fam.Out12">'DENTAL INTAKE'!$F$50</definedName>
    <definedName name="Ded.Fam.Out21">'DENTAL INTAKE'!$D$88</definedName>
    <definedName name="Ded.Fam.Out22">'DENTAL INTAKE'!$F$88</definedName>
    <definedName name="Ded.Fam.Out31">'DENTAL INTAKE'!$D$126</definedName>
    <definedName name="Ded.Fam.Out32">'DENTAL INTAKE'!$F$126</definedName>
    <definedName name="Ded.Ind.In.1" localSheetId="12" hidden="1">#REF!</definedName>
    <definedName name="Ded.Ind.In.1" localSheetId="8" hidden="1">#REF!</definedName>
    <definedName name="Ded.Ind.In.1" localSheetId="3" hidden="1">#REF!</definedName>
    <definedName name="Ded.Ind.In.1" hidden="1">#REF!</definedName>
    <definedName name="Ded.Ind.In11">'DENTAL INTAKE'!$C$49</definedName>
    <definedName name="Ded.Ind.In12">'DENTAL INTAKE'!$E$49</definedName>
    <definedName name="Ded.Ind.In21">'DENTAL INTAKE'!$C$87</definedName>
    <definedName name="Ded.Ind.In22">'DENTAL INTAKE'!$E$87</definedName>
    <definedName name="Ded.Ind.In31">'DENTAL INTAKE'!$C$125</definedName>
    <definedName name="Ded.Ind.In32">'DENTAL INTAKE'!$E$125</definedName>
    <definedName name="Ded.Ind.Out.1" localSheetId="12" hidden="1">#REF!</definedName>
    <definedName name="Ded.Ind.Out.1" localSheetId="8" hidden="1">#REF!</definedName>
    <definedName name="Ded.Ind.Out.1" localSheetId="3" hidden="1">#REF!</definedName>
    <definedName name="Ded.Ind.Out.1" hidden="1">#REF!</definedName>
    <definedName name="Ded.Ind.Out11">'DENTAL INTAKE'!$D$49</definedName>
    <definedName name="Ded.Ind.Out12">'DENTAL INTAKE'!$F$49</definedName>
    <definedName name="Ded.Ind.Out21">'DENTAL INTAKE'!$C$87</definedName>
    <definedName name="Ded.Ind.Out22">'DENTAL INTAKE'!$E$87</definedName>
    <definedName name="Ded.Ind.Out31">'DENTAL INTAKE'!$D$125</definedName>
    <definedName name="Ded.Ind.Out32">'DENTAL INTAKE'!$F$125</definedName>
    <definedName name="Ded.Max1.1" localSheetId="12" hidden="1">#REF!</definedName>
    <definedName name="Ded.Max1.1" localSheetId="8" hidden="1">#REF!</definedName>
    <definedName name="Ded.Max1.1" localSheetId="3" hidden="1">#REF!</definedName>
    <definedName name="Ded.Max1.1" hidden="1">#REF!</definedName>
    <definedName name="Ded.Max1.2" localSheetId="12" hidden="1">#REF!</definedName>
    <definedName name="Ded.Max1.2" localSheetId="8" hidden="1">#REF!</definedName>
    <definedName name="Ded.Max1.2" localSheetId="3" hidden="1">#REF!</definedName>
    <definedName name="Ded.Max1.2" hidden="1">#REF!</definedName>
    <definedName name="Ded.Max2.1" localSheetId="12" hidden="1">#REF!</definedName>
    <definedName name="Ded.Max2.1" localSheetId="8" hidden="1">#REF!</definedName>
    <definedName name="Ded.Max2.1" localSheetId="3" hidden="1">#REF!</definedName>
    <definedName name="Ded.Max2.1" hidden="1">#REF!</definedName>
    <definedName name="Ded.Max2.2" localSheetId="12" hidden="1">#REF!</definedName>
    <definedName name="Ded.Max2.2" localSheetId="8" hidden="1">#REF!</definedName>
    <definedName name="Ded.Max2.2" localSheetId="3" hidden="1">#REF!</definedName>
    <definedName name="Ded.Max2.2" hidden="1">#REF!</definedName>
    <definedName name="Ded.Max3.1" localSheetId="12" hidden="1">#REF!</definedName>
    <definedName name="Ded.Max3.1" localSheetId="8" hidden="1">#REF!</definedName>
    <definedName name="Ded.Max3.1" localSheetId="3" hidden="1">#REF!</definedName>
    <definedName name="Ded.Max3.1" hidden="1">#REF!</definedName>
    <definedName name="Ded.Max3.2" localSheetId="12" hidden="1">#REF!</definedName>
    <definedName name="Ded.Max3.2" localSheetId="8" hidden="1">#REF!</definedName>
    <definedName name="Ded.Max3.2" localSheetId="3" hidden="1">#REF!</definedName>
    <definedName name="Ded.Max3.2" hidden="1">#REF!</definedName>
    <definedName name="Ded.Waive.In.1" localSheetId="12" hidden="1">#REF!</definedName>
    <definedName name="Ded.Waive.In.1" localSheetId="8" hidden="1">#REF!</definedName>
    <definedName name="Ded.Waive.In.1" localSheetId="3" hidden="1">#REF!</definedName>
    <definedName name="Ded.Waive.In.1" hidden="1">#REF!</definedName>
    <definedName name="Ded.Waive.In11">'DENTAL INTAKE'!$C$51</definedName>
    <definedName name="Ded.Waive.In12">'DENTAL INTAKE'!$E$51</definedName>
    <definedName name="Ded.Waive.In21">'DENTAL INTAKE'!$E$51</definedName>
    <definedName name="Ded.Waive.In22">'DENTAL INTAKE'!$E$89</definedName>
    <definedName name="Ded.Waive.In31">'DENTAL INTAKE'!$C$127</definedName>
    <definedName name="Ded.Waive.In32">'DENTAL INTAKE'!$E$127</definedName>
    <definedName name="Ded.Waive.Out.1" localSheetId="12" hidden="1">#REF!</definedName>
    <definedName name="Ded.Waive.Out.1" localSheetId="8" hidden="1">#REF!</definedName>
    <definedName name="Ded.Waive.Out.1" localSheetId="3" hidden="1">#REF!</definedName>
    <definedName name="Ded.Waive.Out.1" hidden="1">#REF!</definedName>
    <definedName name="Ded.Waive.Out11">'DENTAL INTAKE'!$D$51</definedName>
    <definedName name="Ded.Waive.Out12">'DENTAL INTAKE'!$F$51</definedName>
    <definedName name="Ded.Waive.Out21">'DENTAL INTAKE'!$F$51</definedName>
    <definedName name="Ded.Waive.Out22">'DENTAL INTAKE'!$F$89</definedName>
    <definedName name="Ded.Waive.Out31">'DENTAL INTAKE'!$D$127</definedName>
    <definedName name="Ded.Waive.Out32">'DENTAL INTAKE'!$F$127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INTAKE'!$A$27:$I$63</definedName>
    <definedName name="DentalScenario2">'DENTAL INTAKE'!$A$65:$I$102</definedName>
    <definedName name="DentalScenario3">'DENTAL INTAKE'!$A$65:$I$140</definedName>
    <definedName name="Dep.Age.Range" hidden="1">[1]Data!$IM$35</definedName>
    <definedName name="Dep.Age.Selection" hidden="1">[1]Data!$IM$2</definedName>
    <definedName name="DP.In" localSheetId="12" hidden="1">#REF!</definedName>
    <definedName name="DP.In" localSheetId="8" hidden="1">#REF!</definedName>
    <definedName name="DP.In.1.2" localSheetId="12" hidden="1">#REF!</definedName>
    <definedName name="DP.In.1.2" localSheetId="8" hidden="1">#REF!</definedName>
    <definedName name="DP.In.1.2" localSheetId="3" hidden="1">#REF!</definedName>
    <definedName name="DP.In.1.2" hidden="1">#REF!</definedName>
    <definedName name="DP.In.Range" hidden="1">[1]Data!$DZ$21:$DZ$31</definedName>
    <definedName name="DP.In.Selection" hidden="1">[1]Data!$DY$3</definedName>
    <definedName name="DP.In11">'DENTAL INTAKE'!$C$34</definedName>
    <definedName name="DP.In12">'DENTAL INTAKE'!$E$34</definedName>
    <definedName name="DP.In21">'DENTAL INTAKE'!$C$72</definedName>
    <definedName name="DP.In22">'DENTAL INTAKE'!$E$72</definedName>
    <definedName name="DP.In31">'DENTAL INTAKE'!$C$110</definedName>
    <definedName name="DP.In32">'DENTAL INTAKE'!$E$110</definedName>
    <definedName name="DP.Out" localSheetId="12" hidden="1">#REF!</definedName>
    <definedName name="DP.Out" localSheetId="8" hidden="1">#REF!</definedName>
    <definedName name="DP.Out.1.2" localSheetId="12" hidden="1">#REF!</definedName>
    <definedName name="DP.Out.1.2" localSheetId="8" hidden="1">#REF!</definedName>
    <definedName name="DP.Out.1.2" localSheetId="3" hidden="1">#REF!</definedName>
    <definedName name="DP.Out.1.2" hidden="1">#REF!</definedName>
    <definedName name="DP.Out.Range" hidden="1">[1]Data!$DZ$21:$DZ$31</definedName>
    <definedName name="DP.Out.Selection" hidden="1">[1]Data!$DY$4</definedName>
    <definedName name="DP.Out11">'DENTAL INTAKE'!$D$34</definedName>
    <definedName name="DP.Out12">'DENTAL INTAKE'!$F$34</definedName>
    <definedName name="DP.Out21">'DENTAL INTAKE'!$D$72</definedName>
    <definedName name="DP.Out22">'DENTAL INTAKE'!$F$72</definedName>
    <definedName name="DP.Out31">'DENTAL INTAKE'!$D$110</definedName>
    <definedName name="DP.Out32">'DENTAL INTAKE'!$F$110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2" hidden="1">#REF!</definedName>
    <definedName name="End.In" localSheetId="8" hidden="1">#REF!</definedName>
    <definedName name="End.In" localSheetId="3" hidden="1">#REF!</definedName>
    <definedName name="End.In" hidden="1">#REF!</definedName>
    <definedName name="End.In.1.2" localSheetId="12" hidden="1">#REF!</definedName>
    <definedName name="End.In.1.2" localSheetId="8" hidden="1">#REF!</definedName>
    <definedName name="End.In.1.2" localSheetId="3" hidden="1">#REF!</definedName>
    <definedName name="End.In.1.2" hidden="1">#REF!</definedName>
    <definedName name="End.In11">'DENTAL INTAKE'!$C$36</definedName>
    <definedName name="End.In12">'DENTAL INTAKE'!$E$36</definedName>
    <definedName name="End.In21">'DENTAL INTAKE'!$C$74</definedName>
    <definedName name="End.In22">'DENTAL INTAKE'!$E$74</definedName>
    <definedName name="End.In31">'DENTAL INTAKE'!$C$112</definedName>
    <definedName name="End.In32">'DENTAL INTAKE'!$E$112</definedName>
    <definedName name="End.Out" localSheetId="12" hidden="1">#REF!</definedName>
    <definedName name="End.Out" localSheetId="8" hidden="1">#REF!</definedName>
    <definedName name="End.Out" localSheetId="3" hidden="1">#REF!</definedName>
    <definedName name="End.Out" hidden="1">#REF!</definedName>
    <definedName name="End.Out.1.2" localSheetId="12" hidden="1">#REF!</definedName>
    <definedName name="End.Out.1.2" localSheetId="8" hidden="1">#REF!</definedName>
    <definedName name="End.Out.1.2" localSheetId="3" hidden="1">#REF!</definedName>
    <definedName name="End.Out.1.2" hidden="1">#REF!</definedName>
    <definedName name="End.Out11">'DENTAL INTAKE'!$D$36</definedName>
    <definedName name="End.Out12">'DENTAL INTAKE'!$F$36</definedName>
    <definedName name="End.Out21">'DENTAL INTAKE'!$D$74</definedName>
    <definedName name="End.Out22">'DENTAL INTAKE'!$F$74</definedName>
    <definedName name="End.Out31">'DENTAL INTAKE'!$D$112</definedName>
    <definedName name="End.Out32">'DENTAL INTAKE'!$F$112</definedName>
    <definedName name="Endo.In.Selection" hidden="1">[1]Data!$EG$6</definedName>
    <definedName name="Endo.Out.Range" hidden="1">[1]Data!$EH$39:$EH$56</definedName>
    <definedName name="Endo.Out.Selection" hidden="1">[1]Data!$EG$7</definedName>
    <definedName name="ExhibitPlan1" localSheetId="3">'EXHIBIT 3 TIER'!$A$7:$AA$26</definedName>
    <definedName name="ExhibitPlan1">'EXHIBIT 4 TIER'!$A$7:$AA$26</definedName>
    <definedName name="ExhibitPlan10" localSheetId="3">'EXHIBIT 3 TIER'!$A$27:$AA$197</definedName>
    <definedName name="ExhibitPlan10">'EXHIBIT 4 TIER'!$A$27:$AA$197</definedName>
    <definedName name="ExhibitPlan2" localSheetId="3">'EXHIBIT 3 TIER'!$A$27:$AA$45</definedName>
    <definedName name="ExhibitPlan2">'EXHIBIT 4 TIER'!$A$27:$AA$45</definedName>
    <definedName name="ExhibitPlan3" localSheetId="3">'EXHIBIT 3 TIER'!$A$27:$AA$64</definedName>
    <definedName name="ExhibitPlan3">'EXHIBIT 4 TIER'!$A$27:$AA$64</definedName>
    <definedName name="ExhibitPlan4" localSheetId="3">'EXHIBIT 3 TIER'!$A$27:$AA$83</definedName>
    <definedName name="ExhibitPlan4">'EXHIBIT 4 TIER'!$A$27:$AA$83</definedName>
    <definedName name="ExhibitPlan5" localSheetId="3">'EXHIBIT 3 TIER'!$A$27:$AA$102</definedName>
    <definedName name="ExhibitPlan5">'EXHIBIT 4 TIER'!$A$27:$AA$102</definedName>
    <definedName name="ExhibitPlan6" localSheetId="3">'EXHIBIT 3 TIER'!$A$27:$AA$121</definedName>
    <definedName name="ExhibitPlan6">'EXHIBIT 4 TIER'!$A$27:$AA$121</definedName>
    <definedName name="ExhibitPlan7" localSheetId="3">'EXHIBIT 3 TIER'!$A$27:$AA$140</definedName>
    <definedName name="ExhibitPlan7">'EXHIBIT 4 TIER'!$A$27:$AA$140</definedName>
    <definedName name="ExhibitPlan8" localSheetId="3">'EXHIBIT 3 TIER'!$A$27:$AA$159</definedName>
    <definedName name="ExhibitPlan8">'EXHIBIT 4 TIER'!$A$27:$AA$159</definedName>
    <definedName name="ExhibitPlan9" localSheetId="3">'EXHIBIT 3 TIER'!$A$27:$AA$178</definedName>
    <definedName name="ExhibitPlan9">'EXHIBIT 4 TIER'!$A$27:$AA$178</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2" hidden="1">#REF!</definedName>
    <definedName name="Major.In" localSheetId="8" hidden="1">#REF!</definedName>
    <definedName name="Major.In.1.2" localSheetId="12" hidden="1">#REF!</definedName>
    <definedName name="Major.In.1.2" localSheetId="8" hidden="1">#REF!</definedName>
    <definedName name="Major.In.1.2" localSheetId="3" hidden="1">#REF!</definedName>
    <definedName name="Major.In.1.2" hidden="1">#REF!</definedName>
    <definedName name="Major.In11">'DENTAL INTAKE'!$C$39</definedName>
    <definedName name="Major.In12">'DENTAL INTAKE'!$E$39</definedName>
    <definedName name="Major.In21">'DENTAL INTAKE'!$C$77</definedName>
    <definedName name="Major.In22">'DENTAL INTAKE'!$E$77</definedName>
    <definedName name="Major.In31">'DENTAL INTAKE'!$C$115</definedName>
    <definedName name="Major.In32">'DENTAL INTAKE'!$E$115</definedName>
    <definedName name="Major.Out" localSheetId="12" hidden="1">#REF!</definedName>
    <definedName name="Major.Out" localSheetId="8" hidden="1">#REF!</definedName>
    <definedName name="Major.Out.1.2" localSheetId="12" hidden="1">#REF!</definedName>
    <definedName name="Major.Out.1.2" localSheetId="8" hidden="1">#REF!</definedName>
    <definedName name="Major.Out.1.2" localSheetId="3" hidden="1">#REF!</definedName>
    <definedName name="Major.Out.1.2" hidden="1">#REF!</definedName>
    <definedName name="Major.Out11">'DENTAL INTAKE'!$D$39</definedName>
    <definedName name="Major.Out12">'DENTAL INTAKE'!$F$39</definedName>
    <definedName name="Major.Out21">'DENTAL INTAKE'!$D$77</definedName>
    <definedName name="Major.Out22">'DENTAL INTAKE'!$F$77</definedName>
    <definedName name="Major.Out31">'DENTAL INTAKE'!$D$115</definedName>
    <definedName name="Major.Out32">'DENTAL INTAKE'!$F$115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 localSheetId="3">'EXHIBIT 3 TIER'!$M$6</definedName>
    <definedName name="MedPlans">'EXHIBIT 4 TIER'!$M$6</definedName>
    <definedName name="MTC.Range" hidden="1">[1]Data!$KS$26</definedName>
    <definedName name="MTC.selection" hidden="1">[1]Data!$KS$2</definedName>
    <definedName name="Network.Range" hidden="1">[1]Data!$DO$21:$DO$23</definedName>
    <definedName name="Network.Selection" hidden="1">[1]Data!$DO$2</definedName>
    <definedName name="OON.Reimb.Range" hidden="1">[1]Data!$IF$21:$IF$28</definedName>
    <definedName name="OON.Reimb.Selection" hidden="1">[1]Data!$IF$2</definedName>
    <definedName name="Option1.1" localSheetId="12" hidden="1">#REF!</definedName>
    <definedName name="Option1.1" localSheetId="8" hidden="1">#REF!</definedName>
    <definedName name="Option1.1" localSheetId="3" hidden="1">#REF!</definedName>
    <definedName name="Option1.1" hidden="1">#REF!</definedName>
    <definedName name="Option1.2" localSheetId="12" hidden="1">#REF!</definedName>
    <definedName name="Option1.2" localSheetId="8" hidden="1">#REF!</definedName>
    <definedName name="Option1.2" localSheetId="3" hidden="1">#REF!</definedName>
    <definedName name="Option1.2" hidden="1">#REF!</definedName>
    <definedName name="Option2.1" localSheetId="12" hidden="1">#REF!</definedName>
    <definedName name="Option2.1" localSheetId="8" hidden="1">#REF!</definedName>
    <definedName name="Option2.1" localSheetId="3" hidden="1">#REF!</definedName>
    <definedName name="Option2.1" hidden="1">#REF!</definedName>
    <definedName name="Option2.2" localSheetId="12" hidden="1">#REF!</definedName>
    <definedName name="Option2.2" localSheetId="8" hidden="1">#REF!</definedName>
    <definedName name="Option2.2" localSheetId="3" hidden="1">#REF!</definedName>
    <definedName name="Option2.2" hidden="1">#REF!</definedName>
    <definedName name="Option3.1" localSheetId="12" hidden="1">#REF!</definedName>
    <definedName name="Option3.1" localSheetId="8" hidden="1">#REF!</definedName>
    <definedName name="Option3.1" localSheetId="3" hidden="1">#REF!</definedName>
    <definedName name="Option3.1" hidden="1">#REF!</definedName>
    <definedName name="Option3.2" localSheetId="12" hidden="1">#REF!</definedName>
    <definedName name="Option3.2" localSheetId="8" hidden="1">#REF!</definedName>
    <definedName name="Option3.2" localSheetId="3" hidden="1">#REF!</definedName>
    <definedName name="Option3.2" hidden="1">#REF!</definedName>
    <definedName name="Ortho.Coins.1.1" localSheetId="12" hidden="1">#REF!</definedName>
    <definedName name="Ortho.Coins.1.1" localSheetId="8" hidden="1">#REF!</definedName>
    <definedName name="Ortho.Coins.1.1" localSheetId="3" hidden="1">#REF!</definedName>
    <definedName name="Ortho.Coins.1.1" hidden="1">#REF!</definedName>
    <definedName name="Ortho.Coins.1.2" localSheetId="12" hidden="1">#REF!</definedName>
    <definedName name="Ortho.Coins.1.2" localSheetId="8" hidden="1">#REF!</definedName>
    <definedName name="Ortho.Coins.1.2" localSheetId="3" hidden="1">#REF!</definedName>
    <definedName name="Ortho.Coins.1.2" hidden="1">#REF!</definedName>
    <definedName name="Ortho.Coins.Range" hidden="1">[1]Data!$FJ$33</definedName>
    <definedName name="Ortho.Coins.Selection" hidden="1">[1]Data!$FJ$2</definedName>
    <definedName name="Ortho.Cov.1.1" localSheetId="12" hidden="1">#REF!</definedName>
    <definedName name="Ortho.Cov.1.1" localSheetId="8" hidden="1">#REF!</definedName>
    <definedName name="Ortho.Cov.1.1" localSheetId="3" hidden="1">#REF!</definedName>
    <definedName name="Ortho.Cov.1.1" hidden="1">#REF!</definedName>
    <definedName name="Ortho.Cov.1.2" localSheetId="12" hidden="1">#REF!</definedName>
    <definedName name="Ortho.Cov.1.2" localSheetId="8" hidden="1">#REF!</definedName>
    <definedName name="Ortho.Cov.1.2" localSheetId="3" hidden="1">#REF!</definedName>
    <definedName name="Ortho.Cov.1.2" hidden="1">#REF!</definedName>
    <definedName name="Ortho.Cov.2.1" localSheetId="12" hidden="1">#REF!</definedName>
    <definedName name="Ortho.Cov.2.1" localSheetId="8" hidden="1">#REF!</definedName>
    <definedName name="Ortho.Cov.2.1" localSheetId="3" hidden="1">#REF!</definedName>
    <definedName name="Ortho.Cov.2.1" hidden="1">#REF!</definedName>
    <definedName name="Ortho.Cov.2.2" localSheetId="12" hidden="1">#REF!</definedName>
    <definedName name="Ortho.Cov.2.2" localSheetId="8" hidden="1">#REF!</definedName>
    <definedName name="Ortho.Cov.2.2" localSheetId="3" hidden="1">#REF!</definedName>
    <definedName name="Ortho.Cov.2.2" hidden="1">#REF!</definedName>
    <definedName name="Ortho.Cov.3.1" localSheetId="12" hidden="1">#REF!</definedName>
    <definedName name="Ortho.Cov.3.1" localSheetId="8" hidden="1">#REF!</definedName>
    <definedName name="Ortho.Cov.3.1" localSheetId="3" hidden="1">#REF!</definedName>
    <definedName name="Ortho.Cov.3.1" hidden="1">#REF!</definedName>
    <definedName name="Ortho.Cov.3.2" localSheetId="12" hidden="1">#REF!</definedName>
    <definedName name="Ortho.Cov.3.2" localSheetId="8" hidden="1">#REF!</definedName>
    <definedName name="Ortho.Cov.3.2" localSheetId="3" hidden="1">#REF!</definedName>
    <definedName name="Ortho.Cov.3.2" hidden="1">#REF!</definedName>
    <definedName name="Ortho.COVERAGE.Range" hidden="1">[1]Data!$FE$21:$FE$24</definedName>
    <definedName name="Ortho.Coverage.Selection" hidden="1">[1]Data!$FE$2</definedName>
    <definedName name="Ortho.Max.In.1.1" localSheetId="12" hidden="1">#REF!</definedName>
    <definedName name="Ortho.Max.In.1.1" localSheetId="8" hidden="1">#REF!</definedName>
    <definedName name="Ortho.Max.In.1.1" localSheetId="3" hidden="1">#REF!</definedName>
    <definedName name="Ortho.Max.In.1.1" hidden="1">#REF!</definedName>
    <definedName name="Ortho.Max.In.1.2" localSheetId="12" hidden="1">#REF!</definedName>
    <definedName name="Ortho.Max.In.1.2" localSheetId="8" hidden="1">#REF!</definedName>
    <definedName name="Ortho.Max.In.1.2" localSheetId="3" hidden="1">#REF!</definedName>
    <definedName name="Ortho.Max.In.1.2" hidden="1">#REF!</definedName>
    <definedName name="Ortho.Max.In.Range" hidden="1">[1]Data!$FU$21</definedName>
    <definedName name="Ortho.Max.In.Selection" hidden="1">[1]Data!$FT$3</definedName>
    <definedName name="Ortho.Max.Out.1.1" localSheetId="12" hidden="1">#REF!</definedName>
    <definedName name="Ortho.Max.Out.1.1" localSheetId="8" hidden="1">#REF!</definedName>
    <definedName name="Ortho.Max.Out.1.1" localSheetId="3" hidden="1">#REF!</definedName>
    <definedName name="Ortho.Max.Out.1.1" hidden="1">#REF!</definedName>
    <definedName name="Ortho.Max.Out.1.2" localSheetId="12" hidden="1">#REF!</definedName>
    <definedName name="Ortho.Max.Out.1.2" localSheetId="8" hidden="1">#REF!</definedName>
    <definedName name="Ortho.Max.Out.1.2" localSheetId="3" hidden="1">#REF!</definedName>
    <definedName name="Ortho.Max.Out.1.2" hidden="1">#REF!</definedName>
    <definedName name="Ortho.Max.Out.Range" hidden="1">[1]Data!$FU$21</definedName>
    <definedName name="Ortho.Max.Out.Selection" hidden="1">[1]Data!$FT$4</definedName>
    <definedName name="Ortho.Wait.1.1" localSheetId="12" hidden="1">#REF!</definedName>
    <definedName name="Ortho.Wait.1.1" localSheetId="8" hidden="1">#REF!</definedName>
    <definedName name="Ortho.Wait.1.1" localSheetId="3" hidden="1">#REF!</definedName>
    <definedName name="Ortho.Wait.1.1" hidden="1">#REF!</definedName>
    <definedName name="Ortho.Wait.1.2" localSheetId="12" hidden="1">#REF!</definedName>
    <definedName name="Ortho.Wait.1.2" localSheetId="8" hidden="1">#REF!</definedName>
    <definedName name="Ortho.Wait.1.2" localSheetId="3" hidden="1">#REF!</definedName>
    <definedName name="Ortho.Wait.1.2" hidden="1">#REF!</definedName>
    <definedName name="Ortho.Wait.2.1" localSheetId="12" hidden="1">#REF!</definedName>
    <definedName name="Ortho.Wait.2.1" localSheetId="8" hidden="1">#REF!</definedName>
    <definedName name="Ortho.Wait.2.1" localSheetId="3" hidden="1">#REF!</definedName>
    <definedName name="Ortho.Wait.2.1" hidden="1">#REF!</definedName>
    <definedName name="Ortho.Wait.2.2" localSheetId="12" hidden="1">#REF!</definedName>
    <definedName name="Ortho.Wait.2.2" localSheetId="8" hidden="1">#REF!</definedName>
    <definedName name="Ortho.Wait.2.2" localSheetId="3" hidden="1">#REF!</definedName>
    <definedName name="Ortho.Wait.2.2" hidden="1">#REF!</definedName>
    <definedName name="Ortho.Wait.3.1" localSheetId="12" hidden="1">#REF!</definedName>
    <definedName name="Ortho.Wait.3.1" localSheetId="8" hidden="1">#REF!</definedName>
    <definedName name="Ortho.Wait.3.1" localSheetId="3" hidden="1">#REF!</definedName>
    <definedName name="Ortho.Wait.3.1" hidden="1">#REF!</definedName>
    <definedName name="Ortho.Wait.3.2" localSheetId="12" hidden="1">#REF!</definedName>
    <definedName name="Ortho.Wait.3.2" localSheetId="8" hidden="1">#REF!</definedName>
    <definedName name="Ortho.Wait.3.2" localSheetId="3" hidden="1">#REF!</definedName>
    <definedName name="Ortho.Wait.3.2" hidden="1">#REF!</definedName>
    <definedName name="Ortho.Wait.Range" hidden="1">[1]Data!$FX$26</definedName>
    <definedName name="Ortho.Wait.Selection" hidden="1">[1]Data!$FX$2</definedName>
    <definedName name="Ortho.waive.1.1" localSheetId="12" hidden="1">#REF!</definedName>
    <definedName name="Ortho.waive.1.1" localSheetId="8" hidden="1">#REF!</definedName>
    <definedName name="Ortho.waive.1.1" localSheetId="3" hidden="1">#REF!</definedName>
    <definedName name="Ortho.waive.1.1" hidden="1">#REF!</definedName>
    <definedName name="Ortho.waive.1.2" localSheetId="12" hidden="1">#REF!</definedName>
    <definedName name="Ortho.waive.1.2" localSheetId="8" hidden="1">#REF!</definedName>
    <definedName name="Ortho.waive.1.2" localSheetId="3" hidden="1">#REF!</definedName>
    <definedName name="Ortho.waive.1.2" hidden="1">#REF!</definedName>
    <definedName name="Ortho.waive.2.1" localSheetId="12" hidden="1">#REF!</definedName>
    <definedName name="Ortho.waive.2.1" localSheetId="8" hidden="1">#REF!</definedName>
    <definedName name="Ortho.waive.2.1" localSheetId="3" hidden="1">#REF!</definedName>
    <definedName name="Ortho.waive.2.1" hidden="1">#REF!</definedName>
    <definedName name="Ortho.waive.2.2" localSheetId="12" hidden="1">#REF!</definedName>
    <definedName name="Ortho.waive.2.2" localSheetId="8" hidden="1">#REF!</definedName>
    <definedName name="Ortho.waive.2.2" localSheetId="3" hidden="1">#REF!</definedName>
    <definedName name="Ortho.waive.2.2" hidden="1">#REF!</definedName>
    <definedName name="Ortho.waive.3.1" localSheetId="12" hidden="1">#REF!</definedName>
    <definedName name="Ortho.waive.3.1" localSheetId="8" hidden="1">#REF!</definedName>
    <definedName name="Ortho.waive.3.1" localSheetId="3" hidden="1">#REF!</definedName>
    <definedName name="Ortho.waive.3.1" hidden="1">#REF!</definedName>
    <definedName name="Ortho.waive.3.2" localSheetId="12" hidden="1">#REF!</definedName>
    <definedName name="Ortho.waive.3.2" localSheetId="8" hidden="1">#REF!</definedName>
    <definedName name="Ortho.waive.3.2" localSheetId="3" hidden="1">#REF!</definedName>
    <definedName name="Ortho.waive.3.2" hidden="1">#REF!</definedName>
    <definedName name="OS.In" localSheetId="12" hidden="1">#REF!</definedName>
    <definedName name="OS.In" localSheetId="8" hidden="1">#REF!</definedName>
    <definedName name="OS.In" localSheetId="3" hidden="1">#REF!</definedName>
    <definedName name="OS.In" hidden="1">#REF!</definedName>
    <definedName name="OS.In.1.2" localSheetId="12" hidden="1">#REF!</definedName>
    <definedName name="OS.In.1.2" localSheetId="8" hidden="1">#REF!</definedName>
    <definedName name="OS.In.1.2" localSheetId="3" hidden="1">#REF!</definedName>
    <definedName name="OS.In.1.2" hidden="1">#REF!</definedName>
    <definedName name="OS.In.Selection" hidden="1">[1]Data!$EG$12</definedName>
    <definedName name="OS.In11">'DENTAL INTAKE'!$C$38</definedName>
    <definedName name="OS.In12">'DENTAL INTAKE'!$E$38</definedName>
    <definedName name="OS.In21">'DENTAL INTAKE'!$C$76</definedName>
    <definedName name="OS.In22">'DENTAL INTAKE'!$E$75:$E$76</definedName>
    <definedName name="OS.In31">'DENTAL INTAKE'!$C$114</definedName>
    <definedName name="OS.In32">'DENTAL INTAKE'!$E$114</definedName>
    <definedName name="OS.out" localSheetId="12" hidden="1">#REF!</definedName>
    <definedName name="OS.out" localSheetId="8" hidden="1">#REF!</definedName>
    <definedName name="OS.out" localSheetId="3" hidden="1">#REF!</definedName>
    <definedName name="OS.out" hidden="1">#REF!</definedName>
    <definedName name="OS.Out.1.2" localSheetId="12" hidden="1">#REF!</definedName>
    <definedName name="OS.Out.1.2" localSheetId="8" hidden="1">#REF!</definedName>
    <definedName name="OS.Out.1.2" localSheetId="3" hidden="1">#REF!</definedName>
    <definedName name="OS.Out.1.2" hidden="1">#REF!</definedName>
    <definedName name="OS.Out.Range" hidden="1">[1]Data!$EH$39:$EH$56</definedName>
    <definedName name="OS.Out.Selection" hidden="1">[1]Data!$EG$13</definedName>
    <definedName name="OS.Out11">'DENTAL INTAKE'!$D$38</definedName>
    <definedName name="OS.Out12">'DENTAL INTAKE'!$F$38</definedName>
    <definedName name="OS.Out21">'DENTAL INTAKE'!$D$76</definedName>
    <definedName name="OS.Out22">'DENTAL INTAKE'!$F$76</definedName>
    <definedName name="OS.Out31">'DENTAL INTAKE'!$D$114</definedName>
    <definedName name="OS.Out32">'DENTAL INTAKE'!$F$114</definedName>
    <definedName name="Participation.Range" hidden="1">[1]Data!$CO$21:$CO$31</definedName>
    <definedName name="Participation.Selection" hidden="1">[1]Data!$CO$2</definedName>
    <definedName name="Perio.In" localSheetId="12" hidden="1">#REF!</definedName>
    <definedName name="Perio.In" localSheetId="8" hidden="1">#REF!</definedName>
    <definedName name="Perio.In" localSheetId="3" hidden="1">#REF!</definedName>
    <definedName name="Perio.In" hidden="1">#REF!</definedName>
    <definedName name="Perio.In.1.2" localSheetId="12" hidden="1">#REF!</definedName>
    <definedName name="Perio.In.1.2" localSheetId="8" hidden="1">#REF!</definedName>
    <definedName name="Perio.In.1.2" localSheetId="3" hidden="1">#REF!</definedName>
    <definedName name="Perio.In.1.2" hidden="1">#REF!</definedName>
    <definedName name="Perio.In.Selection" hidden="1">[1]Data!$EG$9</definedName>
    <definedName name="Perio.In11">'DENTAL INTAKE'!$C$37</definedName>
    <definedName name="Perio.In12">'DENTAL INTAKE'!$E$37</definedName>
    <definedName name="Perio.In21">'DENTAL INTAKE'!$C$75</definedName>
    <definedName name="Perio.In22">'DENTAL INTAKE'!$E$75</definedName>
    <definedName name="Perio.In31">'DENTAL INTAKE'!$C$113</definedName>
    <definedName name="Perio.In32">'DENTAL INTAKE'!$E$113</definedName>
    <definedName name="Perio.Out" localSheetId="12" hidden="1">#REF!</definedName>
    <definedName name="Perio.Out" localSheetId="8" hidden="1">#REF!</definedName>
    <definedName name="Perio.Out" localSheetId="3" hidden="1">#REF!</definedName>
    <definedName name="Perio.Out" hidden="1">#REF!</definedName>
    <definedName name="Perio.Out.1.2" localSheetId="12" hidden="1">#REF!</definedName>
    <definedName name="Perio.Out.1.2" localSheetId="8" hidden="1">#REF!</definedName>
    <definedName name="Perio.Out.1.2" localSheetId="3" hidden="1">#REF!</definedName>
    <definedName name="Perio.Out.1.2" hidden="1">#REF!</definedName>
    <definedName name="Perio.Out.Range" hidden="1">[1]Data!$EH$39:$EH$56</definedName>
    <definedName name="Perio.Out.Selection" hidden="1">[1]Data!$EG$10</definedName>
    <definedName name="Perio.Out11">'DENTAL INTAKE'!$D$37</definedName>
    <definedName name="Perio.Out12">'DENTAL INTAKE'!$F$37</definedName>
    <definedName name="Perio.Out21">'DENTAL INTAKE'!$D$75</definedName>
    <definedName name="Perio.Out22">'DENTAL INTAKE'!$F$75</definedName>
    <definedName name="Perio.Out31">'DENTAL INTAKE'!$D$113</definedName>
    <definedName name="Perio.Out32">'DENTAL INTAKE'!$F$113</definedName>
    <definedName name="PLAN_CODE">PLANS!$A$1:$A$86</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2" hidden="1">#REF!</definedName>
    <definedName name="Prefill.Plan" localSheetId="8" hidden="1">#REF!</definedName>
    <definedName name="Prefill.Plan" localSheetId="3" hidden="1">#REF!</definedName>
    <definedName name="Prefill.Plan" hidden="1">#REF!</definedName>
    <definedName name="PrefillScenario1Opt1">'DENTAL INTAKE'!$C$31</definedName>
    <definedName name="PrefillScenario1Opt2">'DENTAL INTAKE'!$E$31</definedName>
    <definedName name="PrefillScenario2Opt1">'DENTAL INTAKE'!$C$69</definedName>
    <definedName name="PrefillScenario2Opt2">'DENTAL INTAKE'!$E$69</definedName>
    <definedName name="PrefillScenario3Opt1">'DENTAL INTAKE'!$C$107</definedName>
    <definedName name="PrefillScenario3Opt3">'DENTAL INTAKE'!$E$107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2" hidden="1">#REF!</definedName>
    <definedName name="Pros.In" localSheetId="8" hidden="1">#REF!</definedName>
    <definedName name="Pros.In" localSheetId="3" hidden="1">#REF!</definedName>
    <definedName name="Pros.In" hidden="1">#REF!</definedName>
    <definedName name="Pros.In.1.2" localSheetId="12" hidden="1">#REF!</definedName>
    <definedName name="Pros.In.1.2" localSheetId="8" hidden="1">#REF!</definedName>
    <definedName name="Pros.In.1.2" localSheetId="3" hidden="1">#REF!</definedName>
    <definedName name="Pros.In.1.2" hidden="1">#REF!</definedName>
    <definedName name="Pros.In11">'DENTAL INTAKE'!$C$41</definedName>
    <definedName name="Pros.In12">'DENTAL INTAKE'!$E$41</definedName>
    <definedName name="Pros.In21">'DENTAL INTAKE'!$C$79</definedName>
    <definedName name="Pros.In22">'DENTAL INTAKE'!$E$79</definedName>
    <definedName name="Pros.in31">'DENTAL INTAKE'!$C$117</definedName>
    <definedName name="Pros.in32">'DENTAL INTAKE'!$E$117</definedName>
    <definedName name="Pros.Out" localSheetId="12" hidden="1">#REF!</definedName>
    <definedName name="Pros.Out" localSheetId="8" hidden="1">#REF!</definedName>
    <definedName name="Pros.Out" localSheetId="3" hidden="1">#REF!</definedName>
    <definedName name="Pros.Out" hidden="1">#REF!</definedName>
    <definedName name="Pros.Out.1.2" localSheetId="12" hidden="1">#REF!</definedName>
    <definedName name="Pros.Out.1.2" localSheetId="8" hidden="1">#REF!</definedName>
    <definedName name="Pros.Out.1.2" localSheetId="3" hidden="1">#REF!</definedName>
    <definedName name="Pros.Out.1.2" hidden="1">#REF!</definedName>
    <definedName name="Pros.Out11">'DENTAL INTAKE'!$D$41</definedName>
    <definedName name="Pros.Out12">'DENTAL INTAKE'!$F$41</definedName>
    <definedName name="Pros.Out21">'DENTAL INTAKE'!$D$79</definedName>
    <definedName name="Pros.Out22">'DENTAL INTAKE'!$F$79</definedName>
    <definedName name="Pros.Out31">'DENTAL INTAKE'!$D$117</definedName>
    <definedName name="Pros.Out32">'DENTAL INTAKE'!$F$117</definedName>
    <definedName name="Pros.Rep.In" localSheetId="12" hidden="1">#REF!</definedName>
    <definedName name="Pros.Rep.In" localSheetId="8" hidden="1">#REF!</definedName>
    <definedName name="Pros.Rep.In" localSheetId="3" hidden="1">#REF!</definedName>
    <definedName name="Pros.Rep.In" hidden="1">#REF!</definedName>
    <definedName name="Pros.Rep.In.1.2" localSheetId="12" hidden="1">#REF!</definedName>
    <definedName name="Pros.Rep.In.1.2" localSheetId="8" hidden="1">#REF!</definedName>
    <definedName name="Pros.Rep.In.1.2" localSheetId="3" hidden="1">#REF!</definedName>
    <definedName name="Pros.Rep.In.1.2" hidden="1">#REF!</definedName>
    <definedName name="Pros.Rep.Out" localSheetId="12" hidden="1">#REF!</definedName>
    <definedName name="Pros.Rep.Out" localSheetId="8" hidden="1">#REF!</definedName>
    <definedName name="Pros.Rep.Out" localSheetId="3" hidden="1">#REF!</definedName>
    <definedName name="Pros.Rep.Out" hidden="1">#REF!</definedName>
    <definedName name="Pros.Rep.Out.1.2" localSheetId="12" hidden="1">#REF!</definedName>
    <definedName name="Pros.Rep.Out.1.2" localSheetId="8" hidden="1">#REF!</definedName>
    <definedName name="Pros.Rep.Out.1.2" localSheetId="3" hidden="1">#REF!</definedName>
    <definedName name="Pros.Rep.Out.1.2" hidden="1">#REF!</definedName>
    <definedName name="ProsRep.In11">'DENTAL INTAKE'!$C$40</definedName>
    <definedName name="ProsRep.In12">'DENTAL INTAKE'!$E$40</definedName>
    <definedName name="ProsRep.In21">'DENTAL INTAKE'!$C$78</definedName>
    <definedName name="ProsRep.In22">'DENTAL INTAKE'!$E$78</definedName>
    <definedName name="ProsRep.In31">'DENTAL INTAKE'!$C$116</definedName>
    <definedName name="ProsRep.In32">'DENTAL INTAKE'!$E$116</definedName>
    <definedName name="ProsRep.Out11">'DENTAL INTAKE'!$D$40</definedName>
    <definedName name="ProsRep.Out12">'DENTAL INTAKE'!$F$40</definedName>
    <definedName name="ProsRep.Out21">'DENTAL INTAKE'!$D$78</definedName>
    <definedName name="ProsRep.Out22">'DENTAL INTAKE'!$F$78</definedName>
    <definedName name="ProsRep.Out31">'DENTAL INTAKE'!$D$116</definedName>
    <definedName name="ProsRep.Out32">'DENTAL INTAKE'!$F$116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'RB RATES'!$A$1:$B$5</definedName>
    <definedName name="SAE">CONTACTS!$A$12:$A$28</definedName>
    <definedName name="SAESAR">CONTACTS!$A$12:$B$28</definedName>
    <definedName name="SAR">CONTACTS!$B$12:$B$28</definedName>
    <definedName name="scenario.count" localSheetId="7">'DENTAL INTAKE'!A1</definedName>
    <definedName name="scenerio.count" localSheetId="12" hidden="1">#REF!</definedName>
    <definedName name="scenerio.count" localSheetId="8" hidden="1">#REF!</definedName>
    <definedName name="scenerio.count" localSheetId="3" hidden="1">#REF!</definedName>
    <definedName name="scenerio.count" hidden="1">#REF!</definedName>
    <definedName name="scenerio.number.1" localSheetId="12" hidden="1">#REF!</definedName>
    <definedName name="scenerio.number.1" localSheetId="8" hidden="1">#REF!</definedName>
    <definedName name="scenerio.number.1" localSheetId="3" hidden="1">#REF!</definedName>
    <definedName name="scenerio.number.1" hidden="1">#REF!</definedName>
    <definedName name="scenerio.number.2" localSheetId="12" hidden="1">#REF!</definedName>
    <definedName name="scenerio.number.2" localSheetId="8" hidden="1">#REF!</definedName>
    <definedName name="scenerio.number.2" localSheetId="3" hidden="1">#REF!</definedName>
    <definedName name="scenerio.number.2" hidden="1">#REF!</definedName>
    <definedName name="scenerio.number.3" localSheetId="12" hidden="1">#REF!</definedName>
    <definedName name="scenerio.number.3" localSheetId="8" hidden="1">#REF!</definedName>
    <definedName name="scenerio.number.3" localSheetId="3"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WaitingPeriods">'DENTAL INTAKE'!$K$1:$K$13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194" i="26" l="1"/>
  <c r="H193" i="26"/>
  <c r="D193" i="26"/>
  <c r="C193" i="26"/>
  <c r="C192" i="26"/>
  <c r="I192" i="26"/>
  <c r="H192" i="26"/>
  <c r="D192" i="26"/>
  <c r="E192" i="26"/>
  <c r="D191" i="26"/>
  <c r="C191" i="26"/>
  <c r="I191" i="26"/>
  <c r="H189" i="26"/>
  <c r="D189" i="26"/>
  <c r="H188" i="26"/>
  <c r="D188" i="26"/>
  <c r="H187" i="26"/>
  <c r="D187" i="26"/>
  <c r="H186" i="26"/>
  <c r="D186" i="26"/>
  <c r="H185" i="26"/>
  <c r="D185" i="26"/>
  <c r="H184" i="26"/>
  <c r="D184" i="26"/>
  <c r="H183" i="26"/>
  <c r="D183" i="26"/>
  <c r="E182" i="26"/>
  <c r="K181" i="26"/>
  <c r="M181" i="26"/>
  <c r="C175" i="26"/>
  <c r="H174" i="26"/>
  <c r="D174" i="26"/>
  <c r="C174" i="26"/>
  <c r="C173" i="26"/>
  <c r="I173" i="26"/>
  <c r="H173" i="26"/>
  <c r="D173" i="26"/>
  <c r="E173" i="26"/>
  <c r="D172" i="26"/>
  <c r="C172" i="26"/>
  <c r="H170" i="26"/>
  <c r="D170" i="26"/>
  <c r="H169" i="26"/>
  <c r="D169" i="26"/>
  <c r="H168" i="26"/>
  <c r="D168" i="26"/>
  <c r="H167" i="26"/>
  <c r="D167" i="26"/>
  <c r="H166" i="26"/>
  <c r="D166" i="26"/>
  <c r="H165" i="26"/>
  <c r="D165" i="26"/>
  <c r="H164" i="26"/>
  <c r="D164" i="26"/>
  <c r="E163" i="26"/>
  <c r="K162" i="26"/>
  <c r="M162" i="26"/>
  <c r="C156" i="26"/>
  <c r="H155" i="26"/>
  <c r="D155" i="26"/>
  <c r="C155" i="26"/>
  <c r="C154" i="26"/>
  <c r="I154" i="26"/>
  <c r="H154" i="26"/>
  <c r="D154" i="26"/>
  <c r="E154" i="26"/>
  <c r="D153" i="26"/>
  <c r="C153" i="26"/>
  <c r="I153" i="26"/>
  <c r="H151" i="26"/>
  <c r="D151" i="26"/>
  <c r="H150" i="26"/>
  <c r="D150" i="26"/>
  <c r="H149" i="26"/>
  <c r="D149" i="26"/>
  <c r="H148" i="26"/>
  <c r="D148" i="26"/>
  <c r="H147" i="26"/>
  <c r="D147" i="26"/>
  <c r="H146" i="26"/>
  <c r="D146" i="26"/>
  <c r="H145" i="26"/>
  <c r="D145" i="26"/>
  <c r="E144" i="26"/>
  <c r="K143" i="26"/>
  <c r="M143" i="26"/>
  <c r="C137" i="26"/>
  <c r="C136" i="26"/>
  <c r="I136" i="26"/>
  <c r="H136" i="26"/>
  <c r="D136" i="26"/>
  <c r="E136" i="26"/>
  <c r="C135" i="26"/>
  <c r="I135" i="26"/>
  <c r="H135" i="26"/>
  <c r="D135" i="26"/>
  <c r="D134" i="26"/>
  <c r="C134" i="26"/>
  <c r="L132" i="26"/>
  <c r="H132" i="26"/>
  <c r="J132" i="26"/>
  <c r="D132" i="26"/>
  <c r="H131" i="26"/>
  <c r="D131" i="26"/>
  <c r="L130" i="26"/>
  <c r="H130" i="26"/>
  <c r="J130" i="26"/>
  <c r="D130" i="26"/>
  <c r="H129" i="26"/>
  <c r="D129" i="26"/>
  <c r="L128" i="26"/>
  <c r="H128" i="26"/>
  <c r="J128" i="26"/>
  <c r="D128" i="26"/>
  <c r="H127" i="26"/>
  <c r="D127" i="26"/>
  <c r="L126" i="26"/>
  <c r="H126" i="26"/>
  <c r="J126" i="26"/>
  <c r="D126" i="26"/>
  <c r="E125" i="26"/>
  <c r="K124" i="26"/>
  <c r="M124" i="26"/>
  <c r="C118" i="26"/>
  <c r="C117" i="26"/>
  <c r="I117" i="26"/>
  <c r="H117" i="26"/>
  <c r="D117" i="26"/>
  <c r="C116" i="26"/>
  <c r="I116" i="26"/>
  <c r="H116" i="26"/>
  <c r="D116" i="26"/>
  <c r="D115" i="26"/>
  <c r="C115" i="26"/>
  <c r="L113" i="26"/>
  <c r="H113" i="26"/>
  <c r="J113" i="26"/>
  <c r="D113" i="26"/>
  <c r="H112" i="26"/>
  <c r="D112" i="26"/>
  <c r="L111" i="26"/>
  <c r="H111" i="26"/>
  <c r="J111" i="26"/>
  <c r="D111" i="26"/>
  <c r="H110" i="26"/>
  <c r="D110" i="26"/>
  <c r="L109" i="26"/>
  <c r="H109" i="26"/>
  <c r="J109" i="26"/>
  <c r="D109" i="26"/>
  <c r="H108" i="26"/>
  <c r="D108" i="26"/>
  <c r="L107" i="26"/>
  <c r="H107" i="26"/>
  <c r="J107" i="26"/>
  <c r="D107" i="26"/>
  <c r="E106" i="26"/>
  <c r="G106" i="26"/>
  <c r="M105" i="26"/>
  <c r="C99" i="26"/>
  <c r="H98" i="26"/>
  <c r="D98" i="26"/>
  <c r="C98" i="26"/>
  <c r="E98" i="26"/>
  <c r="H97" i="26"/>
  <c r="D97" i="26"/>
  <c r="C97" i="26"/>
  <c r="I97" i="26"/>
  <c r="D96" i="26"/>
  <c r="C96" i="26"/>
  <c r="L94" i="26"/>
  <c r="H94" i="26"/>
  <c r="J94" i="26"/>
  <c r="D94" i="26"/>
  <c r="H93" i="26"/>
  <c r="D93" i="26"/>
  <c r="L92" i="26"/>
  <c r="H92" i="26"/>
  <c r="J92" i="26"/>
  <c r="D92" i="26"/>
  <c r="H91" i="26"/>
  <c r="D91" i="26"/>
  <c r="L90" i="26"/>
  <c r="H90" i="26"/>
  <c r="J90" i="26"/>
  <c r="D90" i="26"/>
  <c r="H89" i="26"/>
  <c r="D89" i="26"/>
  <c r="L88" i="26"/>
  <c r="H88" i="26"/>
  <c r="J88" i="26"/>
  <c r="D88" i="26"/>
  <c r="E87" i="26"/>
  <c r="K86" i="26"/>
  <c r="M86" i="26"/>
  <c r="C80" i="26"/>
  <c r="H79" i="26"/>
  <c r="D79" i="26"/>
  <c r="C79" i="26"/>
  <c r="E68" i="26"/>
  <c r="G68" i="26"/>
  <c r="F79" i="26"/>
  <c r="G79" i="26"/>
  <c r="C78" i="26"/>
  <c r="I78" i="26"/>
  <c r="H78" i="26"/>
  <c r="D78" i="26"/>
  <c r="D77" i="26"/>
  <c r="C77" i="26"/>
  <c r="L75" i="26"/>
  <c r="H75" i="26"/>
  <c r="J75" i="26"/>
  <c r="D75" i="26"/>
  <c r="H74" i="26"/>
  <c r="D74" i="26"/>
  <c r="L73" i="26"/>
  <c r="H73" i="26"/>
  <c r="J73" i="26"/>
  <c r="D73" i="26"/>
  <c r="H72" i="26"/>
  <c r="D72" i="26"/>
  <c r="L71" i="26"/>
  <c r="H71" i="26"/>
  <c r="J71" i="26"/>
  <c r="D71" i="26"/>
  <c r="H70" i="26"/>
  <c r="D70" i="26"/>
  <c r="L69" i="26"/>
  <c r="H69" i="26"/>
  <c r="J69" i="26"/>
  <c r="D69" i="26"/>
  <c r="M67" i="26"/>
  <c r="K67" i="26"/>
  <c r="C61" i="26"/>
  <c r="H60" i="26"/>
  <c r="D60" i="26"/>
  <c r="C60" i="26"/>
  <c r="I60" i="26"/>
  <c r="H59" i="26"/>
  <c r="D59" i="26"/>
  <c r="C59" i="26"/>
  <c r="D58" i="26"/>
  <c r="C58" i="26"/>
  <c r="L56" i="26"/>
  <c r="J56" i="26"/>
  <c r="H56" i="26"/>
  <c r="D56" i="26"/>
  <c r="L55" i="26"/>
  <c r="J55" i="26"/>
  <c r="H55" i="26"/>
  <c r="D55" i="26"/>
  <c r="L54" i="26"/>
  <c r="J54" i="26"/>
  <c r="H54" i="26"/>
  <c r="D54" i="26"/>
  <c r="L53" i="26"/>
  <c r="J53" i="26"/>
  <c r="H53" i="26"/>
  <c r="D53" i="26"/>
  <c r="L52" i="26"/>
  <c r="J52" i="26"/>
  <c r="H52" i="26"/>
  <c r="D52" i="26"/>
  <c r="L51" i="26"/>
  <c r="J51" i="26"/>
  <c r="H51" i="26"/>
  <c r="D51" i="26"/>
  <c r="L50" i="26"/>
  <c r="J50" i="26"/>
  <c r="H50" i="26"/>
  <c r="D50" i="26"/>
  <c r="E49" i="26"/>
  <c r="G49" i="26"/>
  <c r="M48" i="26"/>
  <c r="C42" i="26"/>
  <c r="H41" i="26"/>
  <c r="D41" i="26"/>
  <c r="C41" i="26"/>
  <c r="H40" i="26"/>
  <c r="D40" i="26"/>
  <c r="C40" i="26"/>
  <c r="I40" i="26"/>
  <c r="D39" i="26"/>
  <c r="C39" i="26"/>
  <c r="L37" i="26"/>
  <c r="J37" i="26"/>
  <c r="H37" i="26"/>
  <c r="D37" i="26"/>
  <c r="J36" i="26"/>
  <c r="H36" i="26"/>
  <c r="L36" i="26"/>
  <c r="D36" i="26"/>
  <c r="J35" i="26"/>
  <c r="H35" i="26"/>
  <c r="L35" i="26"/>
  <c r="D35" i="26"/>
  <c r="J34" i="26"/>
  <c r="H34" i="26"/>
  <c r="L34" i="26"/>
  <c r="D34" i="26"/>
  <c r="J33" i="26"/>
  <c r="H33" i="26"/>
  <c r="L33" i="26"/>
  <c r="D33" i="26"/>
  <c r="J32" i="26"/>
  <c r="H32" i="26"/>
  <c r="L32" i="26"/>
  <c r="D32" i="26"/>
  <c r="H31" i="26"/>
  <c r="L31" i="26"/>
  <c r="D31" i="26"/>
  <c r="E30" i="26"/>
  <c r="G30" i="26"/>
  <c r="M29" i="26"/>
  <c r="C23" i="26"/>
  <c r="H22" i="26"/>
  <c r="D22" i="26"/>
  <c r="C22" i="26"/>
  <c r="H21" i="26"/>
  <c r="D21" i="26"/>
  <c r="C21" i="26"/>
  <c r="I21" i="26"/>
  <c r="U20" i="26"/>
  <c r="D20" i="26"/>
  <c r="C20" i="26"/>
  <c r="I20" i="26"/>
  <c r="Y18" i="26"/>
  <c r="X18" i="26"/>
  <c r="W18" i="26"/>
  <c r="V18" i="26"/>
  <c r="U18" i="26"/>
  <c r="Z17" i="26"/>
  <c r="L18" i="26"/>
  <c r="J18" i="26"/>
  <c r="H18" i="26"/>
  <c r="D18" i="26"/>
  <c r="L17" i="26"/>
  <c r="H17" i="26"/>
  <c r="J17" i="26"/>
  <c r="D17" i="26"/>
  <c r="L16" i="26"/>
  <c r="H16" i="26"/>
  <c r="J16" i="26"/>
  <c r="D16" i="26"/>
  <c r="L15" i="26"/>
  <c r="H15" i="26"/>
  <c r="J15" i="26"/>
  <c r="D15" i="26"/>
  <c r="L14" i="26"/>
  <c r="H14" i="26"/>
  <c r="J14" i="26"/>
  <c r="D14" i="26"/>
  <c r="L13" i="26"/>
  <c r="H13" i="26"/>
  <c r="J13" i="26"/>
  <c r="D13" i="26"/>
  <c r="J12" i="26"/>
  <c r="H12" i="26"/>
  <c r="L12" i="26"/>
  <c r="D12" i="26"/>
  <c r="E11" i="26"/>
  <c r="M10" i="26"/>
  <c r="W9" i="26"/>
  <c r="W6" i="26"/>
  <c r="W5" i="26"/>
  <c r="W4" i="26"/>
  <c r="L194" i="4"/>
  <c r="H194" i="4"/>
  <c r="L193" i="4"/>
  <c r="H193" i="4"/>
  <c r="L192" i="4"/>
  <c r="H192" i="4"/>
  <c r="L191" i="4"/>
  <c r="H189" i="4"/>
  <c r="L188" i="4"/>
  <c r="H188" i="4"/>
  <c r="J188" i="4"/>
  <c r="L187" i="4"/>
  <c r="J187" i="4"/>
  <c r="H187" i="4"/>
  <c r="J186" i="4"/>
  <c r="H186" i="4"/>
  <c r="L186" i="4"/>
  <c r="H185" i="4"/>
  <c r="L184" i="4"/>
  <c r="H184" i="4"/>
  <c r="J184" i="4"/>
  <c r="L183" i="4"/>
  <c r="J183" i="4"/>
  <c r="H183" i="4"/>
  <c r="M181" i="4"/>
  <c r="L175" i="4"/>
  <c r="H175" i="4"/>
  <c r="L174" i="4"/>
  <c r="H174" i="4"/>
  <c r="L173" i="4"/>
  <c r="H173" i="4"/>
  <c r="L172" i="4"/>
  <c r="L170" i="4"/>
  <c r="H170" i="4"/>
  <c r="J170" i="4"/>
  <c r="L169" i="4"/>
  <c r="J169" i="4"/>
  <c r="H169" i="4"/>
  <c r="H168" i="4"/>
  <c r="L168" i="4"/>
  <c r="H167" i="4"/>
  <c r="L166" i="4"/>
  <c r="H166" i="4"/>
  <c r="J166" i="4"/>
  <c r="L165" i="4"/>
  <c r="J165" i="4"/>
  <c r="H165" i="4"/>
  <c r="H164" i="4"/>
  <c r="L164" i="4"/>
  <c r="M162" i="4"/>
  <c r="L156" i="4"/>
  <c r="H156" i="4"/>
  <c r="L155" i="4"/>
  <c r="H155" i="4"/>
  <c r="L154" i="4"/>
  <c r="H154" i="4"/>
  <c r="L153" i="4"/>
  <c r="L151" i="4"/>
  <c r="J151" i="4"/>
  <c r="H151" i="4"/>
  <c r="H150" i="4"/>
  <c r="L150" i="4"/>
  <c r="H149" i="4"/>
  <c r="L148" i="4"/>
  <c r="J148" i="4"/>
  <c r="H148" i="4"/>
  <c r="L147" i="4"/>
  <c r="J147" i="4"/>
  <c r="H147" i="4"/>
  <c r="J146" i="4"/>
  <c r="H146" i="4"/>
  <c r="L146" i="4"/>
  <c r="H145" i="4"/>
  <c r="M143" i="4"/>
  <c r="L137" i="4"/>
  <c r="H137" i="4"/>
  <c r="L136" i="4"/>
  <c r="H136" i="4"/>
  <c r="L135" i="4"/>
  <c r="H135" i="4"/>
  <c r="L134" i="4"/>
  <c r="J132" i="4"/>
  <c r="H132" i="4"/>
  <c r="L132" i="4"/>
  <c r="H131" i="4"/>
  <c r="L130" i="4"/>
  <c r="J130" i="4"/>
  <c r="H130" i="4"/>
  <c r="L129" i="4"/>
  <c r="J129" i="4"/>
  <c r="H129" i="4"/>
  <c r="H128" i="4"/>
  <c r="L128" i="4"/>
  <c r="H127" i="4"/>
  <c r="L126" i="4"/>
  <c r="J126" i="4"/>
  <c r="H126" i="4"/>
  <c r="M124" i="4"/>
  <c r="L118" i="4"/>
  <c r="H118" i="4"/>
  <c r="L117" i="4"/>
  <c r="H117" i="4"/>
  <c r="L116" i="4"/>
  <c r="H116" i="4"/>
  <c r="L115" i="4"/>
  <c r="H113" i="4"/>
  <c r="L112" i="4"/>
  <c r="J112" i="4"/>
  <c r="H112" i="4"/>
  <c r="L111" i="4"/>
  <c r="J111" i="4"/>
  <c r="H111" i="4"/>
  <c r="J110" i="4"/>
  <c r="H110" i="4"/>
  <c r="L110" i="4"/>
  <c r="H109" i="4"/>
  <c r="L108" i="4"/>
  <c r="J108" i="4"/>
  <c r="H108" i="4"/>
  <c r="L107" i="4"/>
  <c r="J107" i="4"/>
  <c r="H107" i="4"/>
  <c r="M105" i="4"/>
  <c r="L99" i="4"/>
  <c r="H99" i="4"/>
  <c r="L98" i="4"/>
  <c r="H98" i="4"/>
  <c r="L97" i="4"/>
  <c r="H97" i="4"/>
  <c r="L96" i="4"/>
  <c r="L94" i="4"/>
  <c r="J94" i="4"/>
  <c r="H94" i="4"/>
  <c r="L93" i="4"/>
  <c r="J93" i="4"/>
  <c r="H93" i="4"/>
  <c r="J92" i="4"/>
  <c r="H92" i="4"/>
  <c r="L92" i="4"/>
  <c r="H91" i="4"/>
  <c r="L90" i="4"/>
  <c r="J90" i="4"/>
  <c r="H90" i="4"/>
  <c r="L89" i="4"/>
  <c r="J89" i="4"/>
  <c r="H89" i="4"/>
  <c r="H88" i="4"/>
  <c r="L88" i="4"/>
  <c r="M86" i="4"/>
  <c r="L80" i="4"/>
  <c r="H80" i="4"/>
  <c r="L79" i="4"/>
  <c r="H79" i="4"/>
  <c r="L78" i="4"/>
  <c r="H78" i="4"/>
  <c r="L77" i="4"/>
  <c r="L75" i="4"/>
  <c r="J75" i="4"/>
  <c r="H75" i="4"/>
  <c r="H74" i="4"/>
  <c r="L74" i="4"/>
  <c r="H73" i="4"/>
  <c r="J73" i="4"/>
  <c r="L72" i="4"/>
  <c r="J72" i="4"/>
  <c r="H72" i="4"/>
  <c r="L71" i="4"/>
  <c r="H71" i="4"/>
  <c r="J71" i="4"/>
  <c r="H70" i="4"/>
  <c r="L70" i="4"/>
  <c r="H69" i="4"/>
  <c r="J69" i="4"/>
  <c r="M67" i="4"/>
  <c r="L61" i="4"/>
  <c r="H61" i="4"/>
  <c r="L60" i="4"/>
  <c r="H60" i="4"/>
  <c r="L59" i="4"/>
  <c r="H59" i="4"/>
  <c r="L58" i="4"/>
  <c r="H56" i="4"/>
  <c r="L56" i="4"/>
  <c r="H55" i="4"/>
  <c r="H54" i="4"/>
  <c r="L54" i="4"/>
  <c r="L53" i="4"/>
  <c r="H53" i="4"/>
  <c r="J53" i="4"/>
  <c r="H52" i="4"/>
  <c r="L51" i="4"/>
  <c r="H51" i="4"/>
  <c r="J51" i="4"/>
  <c r="H50" i="4"/>
  <c r="J50" i="4"/>
  <c r="M48" i="4"/>
  <c r="L42" i="4"/>
  <c r="H42" i="4"/>
  <c r="L41" i="4"/>
  <c r="H41" i="4"/>
  <c r="L40" i="4"/>
  <c r="H40" i="4"/>
  <c r="L39" i="4"/>
  <c r="H37" i="4"/>
  <c r="J37" i="4"/>
  <c r="H36" i="4"/>
  <c r="H35" i="4"/>
  <c r="J35" i="4"/>
  <c r="L34" i="4"/>
  <c r="H34" i="4"/>
  <c r="J34" i="4"/>
  <c r="H33" i="4"/>
  <c r="L33" i="4"/>
  <c r="H32" i="4"/>
  <c r="H31" i="4"/>
  <c r="J31" i="4"/>
  <c r="M29" i="4"/>
  <c r="L23" i="4"/>
  <c r="H23" i="4"/>
  <c r="L22" i="4"/>
  <c r="H22" i="4"/>
  <c r="L21" i="4"/>
  <c r="H21" i="4"/>
  <c r="L20" i="4"/>
  <c r="H18" i="4"/>
  <c r="L18" i="4"/>
  <c r="H17" i="4"/>
  <c r="J17" i="4"/>
  <c r="H16" i="4"/>
  <c r="L16" i="4"/>
  <c r="H15" i="4"/>
  <c r="L15" i="4"/>
  <c r="H14" i="4"/>
  <c r="L14" i="4"/>
  <c r="H13" i="4"/>
  <c r="J13" i="4"/>
  <c r="L12" i="4"/>
  <c r="H12" i="4"/>
  <c r="J12" i="4"/>
  <c r="M10" i="4"/>
  <c r="U20" i="4"/>
  <c r="L50" i="4"/>
  <c r="J54" i="4"/>
  <c r="J56" i="4"/>
  <c r="J33" i="4"/>
  <c r="L37" i="4"/>
  <c r="L31" i="4"/>
  <c r="L35" i="4"/>
  <c r="L17" i="4"/>
  <c r="J16" i="4"/>
  <c r="J14" i="4"/>
  <c r="E20" i="26"/>
  <c r="E21" i="26"/>
  <c r="E60" i="26"/>
  <c r="E41" i="26"/>
  <c r="E40" i="26"/>
  <c r="I41" i="26"/>
  <c r="E58" i="26"/>
  <c r="I98" i="26"/>
  <c r="G144" i="26"/>
  <c r="G182" i="26"/>
  <c r="G11" i="26"/>
  <c r="F21" i="26"/>
  <c r="G21" i="26"/>
  <c r="F41" i="26"/>
  <c r="G41" i="26"/>
  <c r="E78" i="26"/>
  <c r="G87" i="26"/>
  <c r="F96" i="26"/>
  <c r="G96" i="26"/>
  <c r="K105" i="26"/>
  <c r="J116" i="26"/>
  <c r="K116" i="26"/>
  <c r="G125" i="26"/>
  <c r="F136" i="26"/>
  <c r="G136" i="26"/>
  <c r="G163" i="26"/>
  <c r="I79" i="26"/>
  <c r="E97" i="26"/>
  <c r="E116" i="26"/>
  <c r="L192" i="26"/>
  <c r="M192" i="26"/>
  <c r="L173" i="26"/>
  <c r="M173" i="26"/>
  <c r="L154" i="26"/>
  <c r="M154" i="26"/>
  <c r="L193" i="26"/>
  <c r="M193" i="26"/>
  <c r="L174" i="26"/>
  <c r="M174" i="26"/>
  <c r="L155" i="26"/>
  <c r="M155" i="26"/>
  <c r="L136" i="26"/>
  <c r="M136" i="26"/>
  <c r="L117" i="26"/>
  <c r="M117" i="26"/>
  <c r="L191" i="26"/>
  <c r="M191" i="26"/>
  <c r="L134" i="26"/>
  <c r="M134" i="26"/>
  <c r="L98" i="26"/>
  <c r="M98" i="26"/>
  <c r="L79" i="26"/>
  <c r="M79" i="26"/>
  <c r="L60" i="26"/>
  <c r="M60" i="26"/>
  <c r="L153" i="26"/>
  <c r="M153" i="26"/>
  <c r="L115" i="26"/>
  <c r="M115" i="26"/>
  <c r="L96" i="26"/>
  <c r="M96" i="26"/>
  <c r="L172" i="26"/>
  <c r="M172" i="26"/>
  <c r="L77" i="26"/>
  <c r="M77" i="26"/>
  <c r="L40" i="26"/>
  <c r="M40" i="26"/>
  <c r="L21" i="26"/>
  <c r="M21" i="26"/>
  <c r="L20" i="26"/>
  <c r="M20" i="26"/>
  <c r="L58" i="26"/>
  <c r="M58" i="26"/>
  <c r="L116" i="26"/>
  <c r="M116" i="26"/>
  <c r="L97" i="26"/>
  <c r="M97" i="26"/>
  <c r="L59" i="26"/>
  <c r="M59" i="26"/>
  <c r="L39" i="26"/>
  <c r="M39" i="26"/>
  <c r="L22" i="26"/>
  <c r="M22" i="26"/>
  <c r="L135" i="26"/>
  <c r="M135" i="26"/>
  <c r="L78" i="26"/>
  <c r="M78" i="26"/>
  <c r="L41" i="26"/>
  <c r="M41" i="26"/>
  <c r="J70" i="26"/>
  <c r="L70" i="26"/>
  <c r="J93" i="26"/>
  <c r="L93" i="26"/>
  <c r="J108" i="26"/>
  <c r="L108" i="26"/>
  <c r="L146" i="26"/>
  <c r="J146" i="26"/>
  <c r="L148" i="26"/>
  <c r="J148" i="26"/>
  <c r="L150" i="26"/>
  <c r="J150" i="26"/>
  <c r="L184" i="26"/>
  <c r="J184" i="26"/>
  <c r="L186" i="26"/>
  <c r="J186" i="26"/>
  <c r="L188" i="26"/>
  <c r="J188" i="26"/>
  <c r="J191" i="26"/>
  <c r="K191" i="26"/>
  <c r="J172" i="26"/>
  <c r="K172" i="26"/>
  <c r="J153" i="26"/>
  <c r="K153" i="26"/>
  <c r="J134" i="26"/>
  <c r="K134" i="26"/>
  <c r="J115" i="26"/>
  <c r="K115" i="26"/>
  <c r="J192" i="26"/>
  <c r="K192" i="26"/>
  <c r="J174" i="26"/>
  <c r="K174" i="26"/>
  <c r="J135" i="26"/>
  <c r="K135" i="26"/>
  <c r="J117" i="26"/>
  <c r="K117" i="26"/>
  <c r="J96" i="26"/>
  <c r="K96" i="26"/>
  <c r="J77" i="26"/>
  <c r="K77" i="26"/>
  <c r="J154" i="26"/>
  <c r="K154" i="26"/>
  <c r="J136" i="26"/>
  <c r="K136" i="26"/>
  <c r="J193" i="26"/>
  <c r="K193" i="26"/>
  <c r="J155" i="26"/>
  <c r="K155" i="26"/>
  <c r="J97" i="26"/>
  <c r="K97" i="26"/>
  <c r="J79" i="26"/>
  <c r="K79" i="26"/>
  <c r="J98" i="26"/>
  <c r="K98" i="26"/>
  <c r="J78" i="26"/>
  <c r="K78" i="26"/>
  <c r="F22" i="26"/>
  <c r="G22" i="26"/>
  <c r="J31" i="26"/>
  <c r="I39" i="26"/>
  <c r="I43" i="26"/>
  <c r="F59" i="26"/>
  <c r="G59" i="26"/>
  <c r="F60" i="26"/>
  <c r="G60" i="26"/>
  <c r="F58" i="26"/>
  <c r="G58" i="26"/>
  <c r="I59" i="26"/>
  <c r="J72" i="26"/>
  <c r="L72" i="26"/>
  <c r="F78" i="26"/>
  <c r="G78" i="26"/>
  <c r="J110" i="26"/>
  <c r="L110" i="26"/>
  <c r="J131" i="26"/>
  <c r="L131" i="26"/>
  <c r="F40" i="26"/>
  <c r="G40" i="26"/>
  <c r="F39" i="26"/>
  <c r="G39" i="26"/>
  <c r="I58" i="26"/>
  <c r="E59" i="26"/>
  <c r="J74" i="26"/>
  <c r="L74" i="26"/>
  <c r="J89" i="26"/>
  <c r="L89" i="26"/>
  <c r="J112" i="26"/>
  <c r="L112" i="26"/>
  <c r="E135" i="26"/>
  <c r="F135" i="26"/>
  <c r="G135" i="26"/>
  <c r="L145" i="26"/>
  <c r="J145" i="26"/>
  <c r="L147" i="26"/>
  <c r="J147" i="26"/>
  <c r="L149" i="26"/>
  <c r="J149" i="26"/>
  <c r="L151" i="26"/>
  <c r="J151" i="26"/>
  <c r="E172" i="26"/>
  <c r="I172" i="26"/>
  <c r="L183" i="26"/>
  <c r="J183" i="26"/>
  <c r="L185" i="26"/>
  <c r="J185" i="26"/>
  <c r="L187" i="26"/>
  <c r="J187" i="26"/>
  <c r="L189" i="26"/>
  <c r="J189" i="26"/>
  <c r="W11" i="26"/>
  <c r="I22" i="26"/>
  <c r="I24" i="26"/>
  <c r="E22" i="26"/>
  <c r="E39" i="26"/>
  <c r="E79" i="26"/>
  <c r="J91" i="26"/>
  <c r="L91" i="26"/>
  <c r="F97" i="26"/>
  <c r="J127" i="26"/>
  <c r="L127" i="26"/>
  <c r="J173" i="26"/>
  <c r="K173" i="26"/>
  <c r="F77" i="26"/>
  <c r="G77" i="26"/>
  <c r="E96" i="26"/>
  <c r="I96" i="26"/>
  <c r="G97" i="26"/>
  <c r="F98" i="26"/>
  <c r="G98" i="26"/>
  <c r="F117" i="26"/>
  <c r="G117" i="26"/>
  <c r="F115" i="26"/>
  <c r="G115" i="26"/>
  <c r="F116" i="26"/>
  <c r="G116" i="26"/>
  <c r="I174" i="26"/>
  <c r="E174" i="26"/>
  <c r="E77" i="26"/>
  <c r="E81" i="26"/>
  <c r="E82" i="26"/>
  <c r="I77" i="26"/>
  <c r="I81" i="26"/>
  <c r="E117" i="26"/>
  <c r="J129" i="26"/>
  <c r="L129" i="26"/>
  <c r="E134" i="26"/>
  <c r="I134" i="26"/>
  <c r="I138" i="26"/>
  <c r="E153" i="26"/>
  <c r="L165" i="26"/>
  <c r="J165" i="26"/>
  <c r="L167" i="26"/>
  <c r="J167" i="26"/>
  <c r="L169" i="26"/>
  <c r="J169" i="26"/>
  <c r="I193" i="26"/>
  <c r="I195" i="26"/>
  <c r="E193" i="26"/>
  <c r="E115" i="26"/>
  <c r="I115" i="26"/>
  <c r="I119" i="26"/>
  <c r="F134" i="26"/>
  <c r="G134" i="26"/>
  <c r="I155" i="26"/>
  <c r="I157" i="26"/>
  <c r="E155" i="26"/>
  <c r="L164" i="26"/>
  <c r="J164" i="26"/>
  <c r="L166" i="26"/>
  <c r="J166" i="26"/>
  <c r="L168" i="26"/>
  <c r="J168" i="26"/>
  <c r="L170" i="26"/>
  <c r="J170" i="26"/>
  <c r="E191" i="26"/>
  <c r="F153" i="26"/>
  <c r="G153" i="26"/>
  <c r="F172" i="26"/>
  <c r="G172" i="26"/>
  <c r="F191" i="26"/>
  <c r="G191" i="26"/>
  <c r="J55" i="4"/>
  <c r="L55" i="4"/>
  <c r="L127" i="4"/>
  <c r="J127" i="4"/>
  <c r="L52" i="4"/>
  <c r="J52" i="4"/>
  <c r="J150" i="4"/>
  <c r="J164" i="4"/>
  <c r="J168" i="4"/>
  <c r="L13" i="4"/>
  <c r="J15" i="4"/>
  <c r="J18" i="4"/>
  <c r="L32" i="4"/>
  <c r="J32" i="4"/>
  <c r="L36" i="4"/>
  <c r="J36" i="4"/>
  <c r="L73" i="4"/>
  <c r="J70" i="4"/>
  <c r="L113" i="4"/>
  <c r="J113" i="4"/>
  <c r="L91" i="4"/>
  <c r="J91" i="4"/>
  <c r="L131" i="4"/>
  <c r="J131" i="4"/>
  <c r="L145" i="4"/>
  <c r="J145" i="4"/>
  <c r="L185" i="4"/>
  <c r="J185" i="4"/>
  <c r="L189" i="4"/>
  <c r="J189" i="4"/>
  <c r="L69" i="4"/>
  <c r="J74" i="4"/>
  <c r="J88" i="4"/>
  <c r="L109" i="4"/>
  <c r="J109" i="4"/>
  <c r="J128" i="4"/>
  <c r="L149" i="4"/>
  <c r="J149" i="4"/>
  <c r="L167" i="4"/>
  <c r="J167" i="4"/>
  <c r="K157" i="26"/>
  <c r="E62" i="26"/>
  <c r="E63" i="26"/>
  <c r="E43" i="26"/>
  <c r="E44" i="26"/>
  <c r="E24" i="26"/>
  <c r="E25" i="26"/>
  <c r="E157" i="26"/>
  <c r="I100" i="26"/>
  <c r="I101" i="26"/>
  <c r="K195" i="26"/>
  <c r="K196" i="26"/>
  <c r="K197" i="26"/>
  <c r="G62" i="26"/>
  <c r="G63" i="26"/>
  <c r="F20" i="26"/>
  <c r="G20" i="26"/>
  <c r="G24" i="26"/>
  <c r="M157" i="26"/>
  <c r="M158" i="26"/>
  <c r="F193" i="26"/>
  <c r="G193" i="26"/>
  <c r="F192" i="26"/>
  <c r="G192" i="26"/>
  <c r="G195" i="26"/>
  <c r="G196" i="26"/>
  <c r="G100" i="26"/>
  <c r="G101" i="26"/>
  <c r="F174" i="26"/>
  <c r="G174" i="26"/>
  <c r="F173" i="26"/>
  <c r="G173" i="26"/>
  <c r="F155" i="26"/>
  <c r="G155" i="26"/>
  <c r="F154" i="26"/>
  <c r="G154" i="26"/>
  <c r="G157" i="26"/>
  <c r="G158" i="26"/>
  <c r="M159" i="26"/>
  <c r="I158" i="26"/>
  <c r="I159" i="26"/>
  <c r="M176" i="26"/>
  <c r="M177" i="26"/>
  <c r="M197" i="26"/>
  <c r="I196" i="26"/>
  <c r="I197" i="26"/>
  <c r="M26" i="26"/>
  <c r="I26" i="26"/>
  <c r="I25" i="26"/>
  <c r="E176" i="26"/>
  <c r="E177" i="26"/>
  <c r="G43" i="26"/>
  <c r="G44" i="26"/>
  <c r="K119" i="26"/>
  <c r="K120" i="26"/>
  <c r="K121" i="26"/>
  <c r="M195" i="26"/>
  <c r="M196" i="26"/>
  <c r="G119" i="26"/>
  <c r="G120" i="26"/>
  <c r="K81" i="26"/>
  <c r="K82" i="26"/>
  <c r="K83" i="26"/>
  <c r="K138" i="26"/>
  <c r="K139" i="26"/>
  <c r="K140" i="26"/>
  <c r="M100" i="26"/>
  <c r="M101" i="26"/>
  <c r="I120" i="26"/>
  <c r="M121" i="26"/>
  <c r="I121" i="26"/>
  <c r="E158" i="26"/>
  <c r="E100" i="26"/>
  <c r="E101" i="26"/>
  <c r="I62" i="26"/>
  <c r="M43" i="26"/>
  <c r="M44" i="26"/>
  <c r="K100" i="26"/>
  <c r="K101" i="26"/>
  <c r="K102" i="26"/>
  <c r="K158" i="26"/>
  <c r="K159" i="26"/>
  <c r="M81" i="26"/>
  <c r="M82" i="26"/>
  <c r="M138" i="26"/>
  <c r="M139" i="26"/>
  <c r="M140" i="26"/>
  <c r="I139" i="26"/>
  <c r="I140" i="26"/>
  <c r="E195" i="26"/>
  <c r="E196" i="26"/>
  <c r="E138" i="26"/>
  <c r="E139" i="26"/>
  <c r="I102" i="26"/>
  <c r="I45" i="26"/>
  <c r="M45" i="26"/>
  <c r="I44" i="26"/>
  <c r="G176" i="26"/>
  <c r="G177" i="26"/>
  <c r="G138" i="26"/>
  <c r="G139" i="26"/>
  <c r="E119" i="26"/>
  <c r="E120" i="26"/>
  <c r="I82" i="26"/>
  <c r="M83" i="26"/>
  <c r="I83" i="26"/>
  <c r="G81" i="26"/>
  <c r="G82" i="26"/>
  <c r="I176" i="26"/>
  <c r="M62" i="26"/>
  <c r="M63" i="26"/>
  <c r="K176" i="26"/>
  <c r="K177" i="26"/>
  <c r="K178" i="26"/>
  <c r="M24" i="26"/>
  <c r="M119" i="26"/>
  <c r="M120" i="26"/>
  <c r="M102" i="26"/>
  <c r="Q19" i="26"/>
  <c r="M25" i="26"/>
  <c r="Q20" i="26"/>
  <c r="P5" i="26"/>
  <c r="G25" i="26"/>
  <c r="P8" i="26"/>
  <c r="P7" i="26"/>
  <c r="P6" i="26"/>
  <c r="I63" i="26"/>
  <c r="I177" i="26"/>
  <c r="Q6" i="26"/>
  <c r="M64" i="26"/>
  <c r="I64" i="26"/>
  <c r="M178" i="26"/>
  <c r="I178" i="26"/>
  <c r="Q5" i="26"/>
  <c r="Q21" i="26"/>
  <c r="Q8" i="26"/>
  <c r="R8" i="26"/>
  <c r="S8" i="26"/>
  <c r="R6" i="26"/>
  <c r="S6" i="26"/>
  <c r="P22" i="26"/>
  <c r="P15" i="26"/>
  <c r="P19" i="26"/>
  <c r="R19" i="26"/>
  <c r="S19" i="26"/>
  <c r="P12" i="26"/>
  <c r="P14" i="26"/>
  <c r="P21" i="26"/>
  <c r="R5" i="26"/>
  <c r="S5" i="26"/>
  <c r="Q7" i="26"/>
  <c r="R7" i="26"/>
  <c r="S7" i="26"/>
  <c r="P20" i="26"/>
  <c r="R20" i="26"/>
  <c r="S20" i="26"/>
  <c r="P13" i="26"/>
  <c r="Q22" i="26"/>
  <c r="R22" i="26"/>
  <c r="S22" i="26"/>
  <c r="R21" i="26"/>
  <c r="S21" i="26"/>
  <c r="L16" i="1"/>
  <c r="K16" i="1"/>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E104" i="6"/>
  <c r="E66" i="6"/>
  <c r="J6" i="1"/>
  <c r="M21" i="1"/>
  <c r="M19" i="1"/>
  <c r="M17" i="1"/>
  <c r="C7" i="6"/>
  <c r="C6" i="6"/>
  <c r="W9" i="4"/>
  <c r="W6" i="4"/>
  <c r="W5" i="4"/>
  <c r="W4" i="4"/>
  <c r="B1" i="23"/>
  <c r="B4" i="23"/>
  <c r="B3" i="23"/>
  <c r="K48" i="26"/>
  <c r="B2" i="23"/>
  <c r="D69" i="4"/>
  <c r="E30" i="4"/>
  <c r="E49" i="4"/>
  <c r="K48" i="4"/>
  <c r="E106" i="4"/>
  <c r="K105" i="4"/>
  <c r="E125" i="4"/>
  <c r="K124" i="4"/>
  <c r="E68" i="4"/>
  <c r="K67" i="4"/>
  <c r="E87" i="4"/>
  <c r="K86" i="4"/>
  <c r="E144" i="4"/>
  <c r="K143" i="4"/>
  <c r="E163" i="4"/>
  <c r="K162" i="4"/>
  <c r="E182" i="4"/>
  <c r="K181" i="4"/>
  <c r="E11" i="4"/>
  <c r="K10" i="4"/>
  <c r="K10" i="26"/>
  <c r="K29" i="26"/>
  <c r="J58" i="26"/>
  <c r="K58" i="26"/>
  <c r="J59" i="26"/>
  <c r="K59" i="26"/>
  <c r="J60" i="26"/>
  <c r="K60" i="26"/>
  <c r="J22" i="4"/>
  <c r="C22" i="4"/>
  <c r="K22" i="4"/>
  <c r="J20" i="4"/>
  <c r="C20" i="4"/>
  <c r="K20" i="4"/>
  <c r="J23" i="4"/>
  <c r="C23" i="4"/>
  <c r="K23" i="4"/>
  <c r="J21" i="4"/>
  <c r="C21" i="4"/>
  <c r="K21" i="4"/>
  <c r="J96" i="4"/>
  <c r="K96" i="4"/>
  <c r="J97" i="4"/>
  <c r="K97" i="4"/>
  <c r="J98" i="4"/>
  <c r="K98" i="4"/>
  <c r="J99" i="4"/>
  <c r="K99" i="4"/>
  <c r="J58" i="4"/>
  <c r="C58" i="4"/>
  <c r="K58" i="4"/>
  <c r="J61" i="4"/>
  <c r="C61" i="4"/>
  <c r="K61" i="4"/>
  <c r="J59" i="4"/>
  <c r="C59" i="4"/>
  <c r="K59" i="4"/>
  <c r="J60" i="4"/>
  <c r="C60" i="4"/>
  <c r="K60" i="4"/>
  <c r="J193" i="4"/>
  <c r="K193" i="4"/>
  <c r="J191" i="4"/>
  <c r="K191" i="4"/>
  <c r="J192" i="4"/>
  <c r="K192" i="4"/>
  <c r="J194" i="4"/>
  <c r="K194" i="4"/>
  <c r="J77" i="4"/>
  <c r="K77" i="4"/>
  <c r="J78" i="4"/>
  <c r="K78" i="4"/>
  <c r="J79" i="4"/>
  <c r="K79" i="4"/>
  <c r="J80" i="4"/>
  <c r="K80" i="4"/>
  <c r="G30" i="4"/>
  <c r="K29" i="4"/>
  <c r="J153" i="4"/>
  <c r="K153" i="4"/>
  <c r="J156" i="4"/>
  <c r="K156" i="4"/>
  <c r="J154" i="4"/>
  <c r="K154" i="4"/>
  <c r="J155" i="4"/>
  <c r="K155" i="4"/>
  <c r="J115" i="4"/>
  <c r="K115" i="4"/>
  <c r="J117" i="4"/>
  <c r="K117" i="4"/>
  <c r="J116" i="4"/>
  <c r="K116" i="4"/>
  <c r="J118" i="4"/>
  <c r="K118" i="4"/>
  <c r="J172" i="4"/>
  <c r="K172" i="4"/>
  <c r="J173" i="4"/>
  <c r="K173" i="4"/>
  <c r="J175" i="4"/>
  <c r="K175" i="4"/>
  <c r="J174" i="4"/>
  <c r="K174" i="4"/>
  <c r="J134" i="4"/>
  <c r="K134" i="4"/>
  <c r="J136" i="4"/>
  <c r="K136" i="4"/>
  <c r="J135" i="4"/>
  <c r="K135" i="4"/>
  <c r="J137" i="4"/>
  <c r="K137" i="4"/>
  <c r="G163" i="4"/>
  <c r="G125" i="4"/>
  <c r="G144" i="4"/>
  <c r="G106" i="4"/>
  <c r="G87" i="4"/>
  <c r="G182" i="4"/>
  <c r="G68" i="4"/>
  <c r="G49" i="4"/>
  <c r="G11" i="4"/>
  <c r="D12" i="4"/>
  <c r="J39" i="26"/>
  <c r="K39" i="26"/>
  <c r="J40" i="26"/>
  <c r="K40" i="26"/>
  <c r="J41" i="26"/>
  <c r="K41" i="26"/>
  <c r="J22" i="26"/>
  <c r="K22" i="26"/>
  <c r="J20" i="26"/>
  <c r="K20" i="26"/>
  <c r="J21" i="26"/>
  <c r="K21" i="26"/>
  <c r="K195" i="4"/>
  <c r="K196" i="4"/>
  <c r="K197" i="4"/>
  <c r="K62" i="26"/>
  <c r="K119" i="4"/>
  <c r="K120" i="4"/>
  <c r="K121" i="4"/>
  <c r="K81" i="4"/>
  <c r="K82" i="4"/>
  <c r="K83" i="4"/>
  <c r="K62" i="4"/>
  <c r="K63" i="4"/>
  <c r="D58" i="4"/>
  <c r="E58" i="4"/>
  <c r="D59" i="4"/>
  <c r="E59" i="4"/>
  <c r="D60" i="4"/>
  <c r="E60" i="4"/>
  <c r="D61" i="4"/>
  <c r="E61" i="4"/>
  <c r="E62" i="4"/>
  <c r="E63" i="4"/>
  <c r="K64" i="4"/>
  <c r="K100" i="4"/>
  <c r="K101" i="4"/>
  <c r="K102" i="4"/>
  <c r="K157" i="4"/>
  <c r="K158" i="4"/>
  <c r="K159" i="4"/>
  <c r="J39" i="4"/>
  <c r="C39" i="4"/>
  <c r="K39" i="4"/>
  <c r="J41" i="4"/>
  <c r="C41" i="4"/>
  <c r="K41" i="4"/>
  <c r="J42" i="4"/>
  <c r="C42" i="4"/>
  <c r="K42" i="4"/>
  <c r="J40" i="4"/>
  <c r="C40" i="4"/>
  <c r="K40" i="4"/>
  <c r="K24" i="4"/>
  <c r="K25" i="4"/>
  <c r="D20" i="4"/>
  <c r="E20" i="4"/>
  <c r="D21" i="4"/>
  <c r="E21" i="4"/>
  <c r="D22" i="4"/>
  <c r="E22" i="4"/>
  <c r="D23" i="4"/>
  <c r="E23" i="4"/>
  <c r="E24" i="4"/>
  <c r="E25" i="4"/>
  <c r="K26" i="4"/>
  <c r="K176" i="4"/>
  <c r="K177" i="4"/>
  <c r="K178" i="4"/>
  <c r="K138" i="4"/>
  <c r="K139" i="4"/>
  <c r="K140" i="4"/>
  <c r="F60" i="15"/>
  <c r="D60" i="15"/>
  <c r="C60" i="15"/>
  <c r="I60" i="15"/>
  <c r="F59" i="15"/>
  <c r="D59" i="15"/>
  <c r="C59" i="15"/>
  <c r="I59" i="15"/>
  <c r="F58" i="15"/>
  <c r="D58" i="15"/>
  <c r="C58" i="15"/>
  <c r="I58" i="15"/>
  <c r="F57" i="15"/>
  <c r="D57" i="15"/>
  <c r="C57" i="15"/>
  <c r="I57" i="15"/>
  <c r="F51" i="15"/>
  <c r="D51" i="15"/>
  <c r="C51" i="15"/>
  <c r="F50" i="15"/>
  <c r="D50" i="15"/>
  <c r="C50" i="15"/>
  <c r="F49" i="15"/>
  <c r="D49" i="15"/>
  <c r="C49" i="15"/>
  <c r="F48" i="15"/>
  <c r="D48" i="15"/>
  <c r="C48" i="15"/>
  <c r="F40" i="15"/>
  <c r="D40" i="15"/>
  <c r="C40" i="15"/>
  <c r="I40" i="15"/>
  <c r="F39" i="15"/>
  <c r="D39" i="15"/>
  <c r="C39" i="15"/>
  <c r="I39" i="15"/>
  <c r="F38" i="15"/>
  <c r="D38" i="15"/>
  <c r="C38" i="15"/>
  <c r="I38" i="15"/>
  <c r="F37" i="15"/>
  <c r="D37" i="15"/>
  <c r="C37" i="15"/>
  <c r="I37" i="15"/>
  <c r="F31" i="15"/>
  <c r="D31" i="15"/>
  <c r="C31" i="15"/>
  <c r="F30" i="15"/>
  <c r="D30" i="15"/>
  <c r="C30" i="15"/>
  <c r="F29" i="15"/>
  <c r="D29" i="15"/>
  <c r="C29" i="15"/>
  <c r="F28" i="15"/>
  <c r="D28" i="15"/>
  <c r="C28" i="15"/>
  <c r="F19" i="15"/>
  <c r="F18" i="15"/>
  <c r="F17" i="15"/>
  <c r="F16" i="15"/>
  <c r="D19" i="15"/>
  <c r="D18" i="15"/>
  <c r="D17" i="15"/>
  <c r="D16" i="15"/>
  <c r="F10" i="15"/>
  <c r="F9" i="15"/>
  <c r="F8" i="15"/>
  <c r="F7" i="15"/>
  <c r="D10" i="15"/>
  <c r="D9" i="15"/>
  <c r="D8" i="15"/>
  <c r="D7" i="15"/>
  <c r="P10" i="15"/>
  <c r="P9" i="15"/>
  <c r="P8" i="15"/>
  <c r="P7" i="15"/>
  <c r="N10" i="15"/>
  <c r="N9" i="15"/>
  <c r="N8" i="15"/>
  <c r="N7" i="15"/>
  <c r="M10" i="15"/>
  <c r="M9" i="15"/>
  <c r="M8" i="15"/>
  <c r="M7" i="15"/>
  <c r="C19" i="15"/>
  <c r="C18" i="15"/>
  <c r="C17" i="15"/>
  <c r="C16" i="15"/>
  <c r="C10" i="15"/>
  <c r="C9" i="15"/>
  <c r="C8" i="15"/>
  <c r="C7" i="15"/>
  <c r="K24" i="26"/>
  <c r="K25" i="26"/>
  <c r="K26" i="26"/>
  <c r="K43" i="26"/>
  <c r="K44" i="26"/>
  <c r="K45" i="26"/>
  <c r="K63" i="26"/>
  <c r="G51" i="15"/>
  <c r="G50" i="15"/>
  <c r="K43" i="4"/>
  <c r="K44" i="4"/>
  <c r="D39" i="4"/>
  <c r="E39" i="4"/>
  <c r="D40" i="4"/>
  <c r="E40" i="4"/>
  <c r="D41" i="4"/>
  <c r="E41" i="4"/>
  <c r="D42" i="4"/>
  <c r="E42" i="4"/>
  <c r="E43" i="4"/>
  <c r="E44" i="4"/>
  <c r="K45" i="4"/>
  <c r="E28" i="15"/>
  <c r="E57" i="15"/>
  <c r="J57" i="15"/>
  <c r="K57" i="15"/>
  <c r="K61" i="15"/>
  <c r="K62" i="15"/>
  <c r="E30" i="15"/>
  <c r="E59" i="15"/>
  <c r="J59" i="15"/>
  <c r="K59" i="15"/>
  <c r="E29" i="15"/>
  <c r="E58" i="15"/>
  <c r="E31" i="15"/>
  <c r="E60" i="15"/>
  <c r="J60" i="15"/>
  <c r="K60" i="15"/>
  <c r="G28" i="15"/>
  <c r="G29" i="15"/>
  <c r="G30" i="15"/>
  <c r="G31" i="15"/>
  <c r="E48" i="15"/>
  <c r="J58" i="15"/>
  <c r="K58" i="15"/>
  <c r="I28" i="15"/>
  <c r="I29" i="15"/>
  <c r="I30" i="15"/>
  <c r="I31" i="15"/>
  <c r="G49" i="15"/>
  <c r="I61" i="15"/>
  <c r="I48" i="15"/>
  <c r="I49" i="15"/>
  <c r="I50" i="15"/>
  <c r="I51" i="15"/>
  <c r="G48" i="15"/>
  <c r="E49" i="15"/>
  <c r="E50" i="15"/>
  <c r="E51" i="15"/>
  <c r="G57" i="15"/>
  <c r="G58" i="15"/>
  <c r="G59" i="15"/>
  <c r="G60" i="15"/>
  <c r="I41" i="15"/>
  <c r="E37" i="15"/>
  <c r="E38" i="15"/>
  <c r="J38" i="15"/>
  <c r="K38" i="15"/>
  <c r="E39" i="15"/>
  <c r="J39" i="15"/>
  <c r="K39" i="15"/>
  <c r="E40" i="15"/>
  <c r="J40" i="15"/>
  <c r="K40" i="15"/>
  <c r="G37" i="15"/>
  <c r="G38" i="15"/>
  <c r="G39" i="15"/>
  <c r="G40" i="15"/>
  <c r="C17" i="6"/>
  <c r="C16" i="6"/>
  <c r="C10" i="6"/>
  <c r="C8" i="6"/>
  <c r="C5" i="6"/>
  <c r="Q12" i="26"/>
  <c r="R12" i="26"/>
  <c r="S12" i="26"/>
  <c r="Q14" i="26"/>
  <c r="R14" i="26"/>
  <c r="S14" i="26"/>
  <c r="K64" i="26"/>
  <c r="Q13" i="26"/>
  <c r="J30" i="15"/>
  <c r="K30" i="15"/>
  <c r="E32" i="15"/>
  <c r="E33" i="15"/>
  <c r="E61" i="15"/>
  <c r="E62" i="15"/>
  <c r="J31" i="15"/>
  <c r="K31" i="15"/>
  <c r="J29" i="15"/>
  <c r="K29" i="15"/>
  <c r="E41" i="15"/>
  <c r="E42" i="15"/>
  <c r="E52" i="15"/>
  <c r="E53" i="15"/>
  <c r="I32" i="15"/>
  <c r="J28" i="15"/>
  <c r="K28" i="15"/>
  <c r="G61" i="15"/>
  <c r="G62" i="15"/>
  <c r="G52" i="15"/>
  <c r="G53" i="15"/>
  <c r="G41" i="15"/>
  <c r="G42" i="15"/>
  <c r="G32" i="15"/>
  <c r="G33" i="15"/>
  <c r="I52" i="15"/>
  <c r="J48" i="15"/>
  <c r="K48" i="15"/>
  <c r="J51" i="15"/>
  <c r="K51" i="15"/>
  <c r="K63" i="15"/>
  <c r="I63" i="15"/>
  <c r="I62" i="15"/>
  <c r="J50" i="15"/>
  <c r="K50" i="15"/>
  <c r="J49" i="15"/>
  <c r="K49" i="15"/>
  <c r="J37" i="15"/>
  <c r="K37" i="15"/>
  <c r="K41" i="15"/>
  <c r="K42" i="15"/>
  <c r="K43" i="15"/>
  <c r="I42" i="15"/>
  <c r="N40" i="1"/>
  <c r="Q15" i="26"/>
  <c r="R15" i="26"/>
  <c r="S15" i="26"/>
  <c r="W12" i="26"/>
  <c r="R13" i="26"/>
  <c r="S13" i="26"/>
  <c r="I43" i="15"/>
  <c r="J32" i="15"/>
  <c r="K32" i="15"/>
  <c r="I33" i="15"/>
  <c r="J33" i="15"/>
  <c r="K33" i="15"/>
  <c r="I53" i="15"/>
  <c r="J53" i="15"/>
  <c r="K53" i="15"/>
  <c r="J52" i="15"/>
  <c r="K52" i="15"/>
  <c r="B3" i="1"/>
  <c r="S50"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S20" i="15"/>
  <c r="Q20" i="15"/>
  <c r="O20" i="15"/>
  <c r="S19" i="15"/>
  <c r="T19" i="15"/>
  <c r="U19" i="15"/>
  <c r="Q19" i="15"/>
  <c r="O19" i="15"/>
  <c r="S18" i="15"/>
  <c r="Q18" i="15"/>
  <c r="O18" i="15"/>
  <c r="S17" i="15"/>
  <c r="Q17" i="15"/>
  <c r="O17" i="15"/>
  <c r="O10" i="15"/>
  <c r="O9" i="15"/>
  <c r="O8" i="15"/>
  <c r="O7" i="15"/>
  <c r="Q10" i="15"/>
  <c r="Q9" i="15"/>
  <c r="Q8" i="15"/>
  <c r="Q7" i="15"/>
  <c r="S10" i="15"/>
  <c r="S9" i="15"/>
  <c r="T9" i="15"/>
  <c r="U9" i="15"/>
  <c r="S8" i="15"/>
  <c r="S7" i="15"/>
  <c r="I19" i="15"/>
  <c r="E18" i="15"/>
  <c r="I17" i="15"/>
  <c r="I16" i="15"/>
  <c r="G10" i="15"/>
  <c r="G9" i="15"/>
  <c r="G8" i="15"/>
  <c r="G7" i="15"/>
  <c r="M13" i="7"/>
  <c r="M11" i="7"/>
  <c r="M9" i="7"/>
  <c r="M7" i="7"/>
  <c r="O21" i="15"/>
  <c r="O22" i="15"/>
  <c r="T18" i="15"/>
  <c r="U18" i="15"/>
  <c r="Q11" i="15"/>
  <c r="Q12" i="15"/>
  <c r="S21" i="15"/>
  <c r="S22" i="15"/>
  <c r="Q21" i="15"/>
  <c r="Q22" i="15"/>
  <c r="T17" i="15"/>
  <c r="U17" i="15"/>
  <c r="T20" i="15"/>
  <c r="U20" i="15"/>
  <c r="S11" i="15"/>
  <c r="S12" i="15"/>
  <c r="T8" i="15"/>
  <c r="U8" i="15"/>
  <c r="G19" i="15"/>
  <c r="G17" i="15"/>
  <c r="D19" i="17"/>
  <c r="O11" i="15"/>
  <c r="O12" i="15"/>
  <c r="T10" i="15"/>
  <c r="U10" i="15"/>
  <c r="T7" i="15"/>
  <c r="U7" i="15"/>
  <c r="E16" i="15"/>
  <c r="G16" i="15"/>
  <c r="G18" i="15"/>
  <c r="E17" i="15"/>
  <c r="J17" i="15"/>
  <c r="K17" i="15"/>
  <c r="I18" i="15"/>
  <c r="J18" i="15"/>
  <c r="K18" i="15"/>
  <c r="E19" i="15"/>
  <c r="J19" i="15"/>
  <c r="K19" i="15"/>
  <c r="G11" i="15"/>
  <c r="G12" i="15"/>
  <c r="T22" i="15"/>
  <c r="U22" i="15"/>
  <c r="T11" i="15"/>
  <c r="U11" i="15"/>
  <c r="T21" i="15"/>
  <c r="U21" i="15"/>
  <c r="T12" i="15"/>
  <c r="U12" i="15"/>
  <c r="E20" i="15"/>
  <c r="E21" i="15"/>
  <c r="J16" i="15"/>
  <c r="K16" i="15"/>
  <c r="I10" i="15"/>
  <c r="E9" i="15"/>
  <c r="I8" i="15"/>
  <c r="I7" i="15"/>
  <c r="E8" i="15"/>
  <c r="E10" i="15"/>
  <c r="E7" i="15"/>
  <c r="J7" i="15"/>
  <c r="K7" i="15"/>
  <c r="I9" i="15"/>
  <c r="J10" i="15"/>
  <c r="K10" i="15"/>
  <c r="J9" i="15"/>
  <c r="K9" i="15"/>
  <c r="J8" i="15"/>
  <c r="K8" i="15"/>
  <c r="E11" i="15"/>
  <c r="E12" i="15"/>
  <c r="I11" i="15"/>
  <c r="W11" i="4"/>
  <c r="D194" i="4"/>
  <c r="F194" i="4"/>
  <c r="D193" i="4"/>
  <c r="F193" i="4"/>
  <c r="D192" i="4"/>
  <c r="F192" i="4"/>
  <c r="D191" i="4"/>
  <c r="F191" i="4"/>
  <c r="D175" i="4"/>
  <c r="F175" i="4"/>
  <c r="D174" i="4"/>
  <c r="F174" i="4"/>
  <c r="D173" i="4"/>
  <c r="F173" i="4"/>
  <c r="D172" i="4"/>
  <c r="F172" i="4"/>
  <c r="D156" i="4"/>
  <c r="F156" i="4"/>
  <c r="D155" i="4"/>
  <c r="F155" i="4"/>
  <c r="D154" i="4"/>
  <c r="F154" i="4"/>
  <c r="D153" i="4"/>
  <c r="F153" i="4"/>
  <c r="D137" i="4"/>
  <c r="F137" i="4"/>
  <c r="D136" i="4"/>
  <c r="F136" i="4"/>
  <c r="D135" i="4"/>
  <c r="F135" i="4"/>
  <c r="D134" i="4"/>
  <c r="F134" i="4"/>
  <c r="D118" i="4"/>
  <c r="F118" i="4"/>
  <c r="D117" i="4"/>
  <c r="F117" i="4"/>
  <c r="D116" i="4"/>
  <c r="F116" i="4"/>
  <c r="D115" i="4"/>
  <c r="F115" i="4"/>
  <c r="D99" i="4"/>
  <c r="F99" i="4"/>
  <c r="D98" i="4"/>
  <c r="F98" i="4"/>
  <c r="D97" i="4"/>
  <c r="F97" i="4"/>
  <c r="D96" i="4"/>
  <c r="F96" i="4"/>
  <c r="D80" i="4"/>
  <c r="F80" i="4"/>
  <c r="D79" i="4"/>
  <c r="F79" i="4"/>
  <c r="D78" i="4"/>
  <c r="F78" i="4"/>
  <c r="D77" i="4"/>
  <c r="F77" i="4"/>
  <c r="F61" i="4"/>
  <c r="F60" i="4"/>
  <c r="F59" i="4"/>
  <c r="F58" i="4"/>
  <c r="F42" i="4"/>
  <c r="F41" i="4"/>
  <c r="F40" i="4"/>
  <c r="F39" i="4"/>
  <c r="C79" i="4"/>
  <c r="C98" i="4"/>
  <c r="C117" i="4"/>
  <c r="C136" i="4"/>
  <c r="C155" i="4"/>
  <c r="C194" i="4"/>
  <c r="C193" i="4"/>
  <c r="C192" i="4"/>
  <c r="C191" i="4"/>
  <c r="C174" i="4"/>
  <c r="C175" i="4"/>
  <c r="C173" i="4"/>
  <c r="C172" i="4"/>
  <c r="C156" i="4"/>
  <c r="C154" i="4"/>
  <c r="C153" i="4"/>
  <c r="C137" i="4"/>
  <c r="C135" i="4"/>
  <c r="C134" i="4"/>
  <c r="C118" i="4"/>
  <c r="C116" i="4"/>
  <c r="C115" i="4"/>
  <c r="C99" i="4"/>
  <c r="C97" i="4"/>
  <c r="C96" i="4"/>
  <c r="C80" i="4"/>
  <c r="C78" i="4"/>
  <c r="C77" i="4"/>
  <c r="D50" i="4"/>
  <c r="I23" i="4"/>
  <c r="M23" i="4"/>
  <c r="I78" i="4"/>
  <c r="M78" i="4"/>
  <c r="I99" i="4"/>
  <c r="M99" i="4"/>
  <c r="I154" i="4"/>
  <c r="M154" i="4"/>
  <c r="I193" i="4"/>
  <c r="M193" i="4"/>
  <c r="I117" i="4"/>
  <c r="M117" i="4"/>
  <c r="I39" i="4"/>
  <c r="M39" i="4"/>
  <c r="I80" i="4"/>
  <c r="M80" i="4"/>
  <c r="M135" i="4"/>
  <c r="I135" i="4"/>
  <c r="I174" i="4"/>
  <c r="M174" i="4"/>
  <c r="I98" i="4"/>
  <c r="M98" i="4"/>
  <c r="I20" i="4"/>
  <c r="M20" i="4"/>
  <c r="I40" i="4"/>
  <c r="M40" i="4"/>
  <c r="M61" i="4"/>
  <c r="I61" i="4"/>
  <c r="I96" i="4"/>
  <c r="M96" i="4"/>
  <c r="I116" i="4"/>
  <c r="M116" i="4"/>
  <c r="I137" i="4"/>
  <c r="M137" i="4"/>
  <c r="I172" i="4"/>
  <c r="M172" i="4"/>
  <c r="I191" i="4"/>
  <c r="M191" i="4"/>
  <c r="I155" i="4"/>
  <c r="M155" i="4"/>
  <c r="M79" i="4"/>
  <c r="I79" i="4"/>
  <c r="I58" i="4"/>
  <c r="M58" i="4"/>
  <c r="I134" i="4"/>
  <c r="M134" i="4"/>
  <c r="I175" i="4"/>
  <c r="M175" i="4"/>
  <c r="I41" i="4"/>
  <c r="M41" i="4"/>
  <c r="M59" i="4"/>
  <c r="I59" i="4"/>
  <c r="I60" i="4"/>
  <c r="I62" i="4"/>
  <c r="I115" i="4"/>
  <c r="M115" i="4"/>
  <c r="I156" i="4"/>
  <c r="M156" i="4"/>
  <c r="M194" i="4"/>
  <c r="I194" i="4"/>
  <c r="I22" i="4"/>
  <c r="M22" i="4"/>
  <c r="I21" i="4"/>
  <c r="M21" i="4"/>
  <c r="I42" i="4"/>
  <c r="M42" i="4"/>
  <c r="I77" i="4"/>
  <c r="M77" i="4"/>
  <c r="I97" i="4"/>
  <c r="M97" i="4"/>
  <c r="M118" i="4"/>
  <c r="I118" i="4"/>
  <c r="I153" i="4"/>
  <c r="M153" i="4"/>
  <c r="M157" i="4"/>
  <c r="M158" i="4"/>
  <c r="I173" i="4"/>
  <c r="M173" i="4"/>
  <c r="I192" i="4"/>
  <c r="I195" i="4"/>
  <c r="M192" i="4"/>
  <c r="M136" i="4"/>
  <c r="I136" i="4"/>
  <c r="M60" i="4"/>
  <c r="J11" i="15"/>
  <c r="K11" i="15"/>
  <c r="G39" i="4"/>
  <c r="G77" i="4"/>
  <c r="G115" i="4"/>
  <c r="G134" i="4"/>
  <c r="G59" i="4"/>
  <c r="G78" i="4"/>
  <c r="G154" i="4"/>
  <c r="G98" i="4"/>
  <c r="E96" i="4"/>
  <c r="G116" i="4"/>
  <c r="G137" i="4"/>
  <c r="E172" i="4"/>
  <c r="G96" i="4"/>
  <c r="G172" i="4"/>
  <c r="G191" i="4"/>
  <c r="G118" i="4"/>
  <c r="G153" i="4"/>
  <c r="E173" i="4"/>
  <c r="G173" i="4"/>
  <c r="E192" i="4"/>
  <c r="G136" i="4"/>
  <c r="G40" i="4"/>
  <c r="G97" i="4"/>
  <c r="G192" i="4"/>
  <c r="G58" i="4"/>
  <c r="G175" i="4"/>
  <c r="E193" i="4"/>
  <c r="E117" i="4"/>
  <c r="G117" i="4"/>
  <c r="G41" i="4"/>
  <c r="G60" i="4"/>
  <c r="G79" i="4"/>
  <c r="G155" i="4"/>
  <c r="G193" i="4"/>
  <c r="G135" i="4"/>
  <c r="G174" i="4"/>
  <c r="G42" i="4"/>
  <c r="G61" i="4"/>
  <c r="G80" i="4"/>
  <c r="G99" i="4"/>
  <c r="G156" i="4"/>
  <c r="G194" i="4"/>
  <c r="U23" i="15"/>
  <c r="S23" i="15"/>
  <c r="I12" i="15"/>
  <c r="K20" i="15"/>
  <c r="K21" i="15"/>
  <c r="F21" i="4"/>
  <c r="F22" i="4"/>
  <c r="E77" i="4"/>
  <c r="E153" i="4"/>
  <c r="E134" i="4"/>
  <c r="E115" i="4"/>
  <c r="E78" i="4"/>
  <c r="E154" i="4"/>
  <c r="E135" i="4"/>
  <c r="E175" i="4"/>
  <c r="E137" i="4"/>
  <c r="E79" i="4"/>
  <c r="E174" i="4"/>
  <c r="E118" i="4"/>
  <c r="E156" i="4"/>
  <c r="E98" i="4"/>
  <c r="F23" i="4"/>
  <c r="E97" i="4"/>
  <c r="E116" i="4"/>
  <c r="E191" i="4"/>
  <c r="E155" i="4"/>
  <c r="E80" i="4"/>
  <c r="E194" i="4"/>
  <c r="F20" i="4"/>
  <c r="E136" i="4"/>
  <c r="E99" i="4"/>
  <c r="M62" i="4"/>
  <c r="M63" i="4"/>
  <c r="M176" i="4"/>
  <c r="M177" i="4"/>
  <c r="M24" i="4"/>
  <c r="M25" i="4"/>
  <c r="I196" i="4"/>
  <c r="M197" i="4"/>
  <c r="I197" i="4"/>
  <c r="I157" i="4"/>
  <c r="I176" i="4"/>
  <c r="I119" i="4"/>
  <c r="M81" i="4"/>
  <c r="M82" i="4"/>
  <c r="M119" i="4"/>
  <c r="M120" i="4"/>
  <c r="M138" i="4"/>
  <c r="M139" i="4"/>
  <c r="M195" i="4"/>
  <c r="M196" i="4"/>
  <c r="M100" i="4"/>
  <c r="M101" i="4"/>
  <c r="I138" i="4"/>
  <c r="M43" i="4"/>
  <c r="M44" i="4"/>
  <c r="I63" i="4"/>
  <c r="I64" i="4"/>
  <c r="M64" i="4"/>
  <c r="I81" i="4"/>
  <c r="I100" i="4"/>
  <c r="I43" i="4"/>
  <c r="I24" i="4"/>
  <c r="E100" i="4"/>
  <c r="E101" i="4"/>
  <c r="G81" i="4"/>
  <c r="G82" i="4"/>
  <c r="G119" i="4"/>
  <c r="G120" i="4"/>
  <c r="G138" i="4"/>
  <c r="G139" i="4"/>
  <c r="G43" i="4"/>
  <c r="G44" i="4"/>
  <c r="G157" i="4"/>
  <c r="G158" i="4"/>
  <c r="G176" i="4"/>
  <c r="G177" i="4"/>
  <c r="G62" i="4"/>
  <c r="G63" i="4"/>
  <c r="E176" i="4"/>
  <c r="E177" i="4"/>
  <c r="E157" i="4"/>
  <c r="E158" i="4"/>
  <c r="G195" i="4"/>
  <c r="G196" i="4"/>
  <c r="G100" i="4"/>
  <c r="G101" i="4"/>
  <c r="J12" i="15"/>
  <c r="K12" i="15"/>
  <c r="I20" i="15"/>
  <c r="K22" i="15"/>
  <c r="G20" i="15"/>
  <c r="G21" i="15"/>
  <c r="E195" i="4"/>
  <c r="E196" i="4"/>
  <c r="E138" i="4"/>
  <c r="E139" i="4"/>
  <c r="E119" i="4"/>
  <c r="E120" i="4"/>
  <c r="E81" i="4"/>
  <c r="E82" i="4"/>
  <c r="I83" i="4"/>
  <c r="I82" i="4"/>
  <c r="M83" i="4"/>
  <c r="I178" i="4"/>
  <c r="M178" i="4"/>
  <c r="I177" i="4"/>
  <c r="M26" i="4"/>
  <c r="I25" i="4"/>
  <c r="I26" i="4"/>
  <c r="I139" i="4"/>
  <c r="M140" i="4"/>
  <c r="I140" i="4"/>
  <c r="M159" i="4"/>
  <c r="I159" i="4"/>
  <c r="I158" i="4"/>
  <c r="I44" i="4"/>
  <c r="I45" i="4"/>
  <c r="M45" i="4"/>
  <c r="I101" i="4"/>
  <c r="I102" i="4"/>
  <c r="M102" i="4"/>
  <c r="I121" i="4"/>
  <c r="M121" i="4"/>
  <c r="I120" i="4"/>
  <c r="I21" i="15"/>
  <c r="I22" i="15"/>
  <c r="D189" i="4"/>
  <c r="D188" i="4"/>
  <c r="D187" i="4"/>
  <c r="D186" i="4"/>
  <c r="D185" i="4"/>
  <c r="D184" i="4"/>
  <c r="D183" i="4"/>
  <c r="D170" i="4"/>
  <c r="D169" i="4"/>
  <c r="D168" i="4"/>
  <c r="D167" i="4"/>
  <c r="D166" i="4"/>
  <c r="D165" i="4"/>
  <c r="D164" i="4"/>
  <c r="D151" i="4"/>
  <c r="D150" i="4"/>
  <c r="D149" i="4"/>
  <c r="D148" i="4"/>
  <c r="D147" i="4"/>
  <c r="D146" i="4"/>
  <c r="D145" i="4"/>
  <c r="D132" i="4"/>
  <c r="D131" i="4"/>
  <c r="D130" i="4"/>
  <c r="D129" i="4"/>
  <c r="D128" i="4"/>
  <c r="D127" i="4"/>
  <c r="D126" i="4"/>
  <c r="D113" i="4"/>
  <c r="D112" i="4"/>
  <c r="D111" i="4"/>
  <c r="D110" i="4"/>
  <c r="D109" i="4"/>
  <c r="D108" i="4"/>
  <c r="D107" i="4"/>
  <c r="D94" i="4"/>
  <c r="D93" i="4"/>
  <c r="D92" i="4"/>
  <c r="D91" i="4"/>
  <c r="D90" i="4"/>
  <c r="D89" i="4"/>
  <c r="D88" i="4"/>
  <c r="D75" i="4"/>
  <c r="D74" i="4"/>
  <c r="D73" i="4"/>
  <c r="D72" i="4"/>
  <c r="D71" i="4"/>
  <c r="D70" i="4"/>
  <c r="D56" i="4"/>
  <c r="D55" i="4"/>
  <c r="D54" i="4"/>
  <c r="D53" i="4"/>
  <c r="D52" i="4"/>
  <c r="D51" i="4"/>
  <c r="D37" i="4"/>
  <c r="D36" i="4"/>
  <c r="D35" i="4"/>
  <c r="D34" i="4"/>
  <c r="D33" i="4"/>
  <c r="D32" i="4"/>
  <c r="D31" i="4"/>
  <c r="D18" i="4"/>
  <c r="D17" i="4"/>
  <c r="D16" i="4"/>
  <c r="D15" i="4"/>
  <c r="D14" i="4"/>
  <c r="D13" i="4"/>
  <c r="Y18" i="4"/>
  <c r="X18" i="4"/>
  <c r="W18" i="4"/>
  <c r="V18" i="4"/>
  <c r="U18" i="4"/>
  <c r="G23" i="4"/>
  <c r="G21" i="4"/>
  <c r="Z17" i="4"/>
  <c r="G22" i="4"/>
  <c r="G20" i="4"/>
  <c r="P5" i="4"/>
  <c r="G24" i="4"/>
  <c r="Q5" i="4"/>
  <c r="P6" i="4"/>
  <c r="G25" i="4"/>
  <c r="Q6" i="4"/>
  <c r="R6" i="4"/>
  <c r="S6" i="4"/>
  <c r="P13" i="4"/>
  <c r="P20" i="4"/>
  <c r="Q7" i="4"/>
  <c r="R5" i="4"/>
  <c r="S5" i="4"/>
  <c r="P19" i="4"/>
  <c r="P12" i="4"/>
  <c r="Q8" i="4"/>
  <c r="E67" i="1"/>
  <c r="E65" i="1"/>
  <c r="E64" i="1"/>
  <c r="E63" i="1"/>
  <c r="E62" i="1"/>
  <c r="E61" i="1"/>
  <c r="E60" i="1"/>
  <c r="E59" i="1"/>
  <c r="M35" i="1"/>
  <c r="M33" i="1"/>
  <c r="M31" i="1"/>
  <c r="M29" i="1"/>
  <c r="M27" i="1"/>
  <c r="M25" i="1"/>
  <c r="M23" i="1"/>
  <c r="R9" i="1"/>
  <c r="R10" i="1"/>
  <c r="R11" i="1"/>
  <c r="R12" i="1"/>
  <c r="M37" i="1"/>
  <c r="N6" i="1"/>
  <c r="W8" i="26"/>
  <c r="N5" i="1"/>
  <c r="W7" i="26"/>
  <c r="S52" i="1"/>
  <c r="S54" i="1"/>
  <c r="S55" i="1"/>
  <c r="W8" i="4"/>
  <c r="P8" i="4"/>
  <c r="P15" i="4"/>
  <c r="P7" i="4"/>
  <c r="P14" i="4"/>
  <c r="D8" i="17"/>
  <c r="D11" i="17"/>
  <c r="F17" i="17"/>
  <c r="S49" i="1"/>
  <c r="S51" i="1"/>
  <c r="C9" i="6"/>
  <c r="W7" i="4"/>
  <c r="D21" i="17"/>
  <c r="F21" i="17"/>
  <c r="S56" i="1"/>
  <c r="R8" i="4"/>
  <c r="S8" i="4"/>
  <c r="P22" i="4"/>
  <c r="P21" i="4"/>
  <c r="R7" i="4"/>
  <c r="S7" i="4"/>
  <c r="D23" i="17"/>
  <c r="G16" i="17"/>
  <c r="S57" i="1"/>
  <c r="C2" i="20"/>
  <c r="C5" i="20"/>
  <c r="Q66" i="1"/>
  <c r="C3" i="20"/>
  <c r="G14" i="20"/>
  <c r="I14" i="20"/>
  <c r="F29" i="17"/>
  <c r="C6" i="20"/>
  <c r="C10" i="20"/>
  <c r="S67" i="1"/>
  <c r="Q61" i="1"/>
  <c r="S61" i="1"/>
  <c r="D29" i="17"/>
  <c r="E29" i="17"/>
  <c r="S66" i="1"/>
  <c r="C9" i="20"/>
  <c r="Q67" i="1"/>
  <c r="Q68" i="1"/>
  <c r="Q69" i="1"/>
  <c r="S68" i="1"/>
  <c r="S69" i="1"/>
  <c r="D10" i="20"/>
  <c r="S62" i="1"/>
  <c r="E30" i="17"/>
  <c r="E31" i="17"/>
  <c r="E32" i="17"/>
  <c r="D30" i="17"/>
  <c r="D31" i="17"/>
  <c r="D32" i="17"/>
  <c r="D9" i="20"/>
  <c r="Q62" i="1"/>
  <c r="Q63" i="1"/>
  <c r="S63" i="1"/>
  <c r="S64" i="1"/>
  <c r="Q64" i="1"/>
  <c r="Q20" i="4"/>
  <c r="Q19" i="4"/>
  <c r="R19" i="4"/>
  <c r="S19" i="4"/>
  <c r="Q22" i="4"/>
  <c r="R22" i="4"/>
  <c r="S22" i="4"/>
  <c r="R20" i="4"/>
  <c r="S20" i="4"/>
  <c r="Q21" i="4"/>
  <c r="R21" i="4"/>
  <c r="S21" i="4"/>
  <c r="Q12" i="4"/>
  <c r="Q13" i="4"/>
  <c r="W12" i="4"/>
  <c r="R13" i="4"/>
  <c r="S13" i="4"/>
  <c r="Q15" i="4"/>
  <c r="R15" i="4"/>
  <c r="S15" i="4"/>
  <c r="Q14" i="4"/>
  <c r="R14" i="4"/>
  <c r="S14" i="4"/>
  <c r="R12" i="4"/>
  <c r="S12"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<sst xmlns="http://schemas.openxmlformats.org/spreadsheetml/2006/main" count="6574" uniqueCount="1948">
  <si>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</si>
  <si>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</si>
  <si>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</si>
  <si>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</si>
  <si>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</si>
  <si>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</si>
  <si>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</si>
  <si>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</si>
  <si>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</si>
  <si>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</si>
  <si>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</si>
  <si>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</si>
  <si>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</si>
  <si>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</si>
  <si>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</si>
  <si>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</si>
  <si>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</si>
  <si>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</si>
  <si>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</si>
  <si>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</si>
  <si>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</si>
  <si>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</si>
  <si>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</si>
  <si>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</si>
  <si>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</si>
  <si>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</si>
  <si>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Co-Brokerage Name:</t>
  </si>
  <si>
    <t>No. of Plans:</t>
  </si>
  <si>
    <t>EMPLOYER CONTRIBUTIONS</t>
  </si>
  <si>
    <t>RATES</t>
  </si>
  <si>
    <t>BENEFITS</t>
  </si>
  <si>
    <t>Carrier</t>
  </si>
  <si>
    <t>Plan Name</t>
  </si>
  <si>
    <t>EE</t>
  </si>
  <si>
    <t>DEP</t>
  </si>
  <si>
    <t>Total EEs</t>
  </si>
  <si>
    <t>Deductible</t>
  </si>
  <si>
    <t>OOP</t>
  </si>
  <si>
    <t>OV/SP Copay</t>
  </si>
  <si>
    <t>In Hospital</t>
  </si>
  <si>
    <t>Rx</t>
  </si>
  <si>
    <t>Rates:</t>
  </si>
  <si>
    <t>Ees:</t>
  </si>
  <si>
    <t>TOTAL EMPLOYEES:</t>
  </si>
  <si>
    <t>Medical Commission:</t>
  </si>
  <si>
    <t>Standalone</t>
  </si>
  <si>
    <t>Dual</t>
  </si>
  <si>
    <t>Triple</t>
  </si>
  <si>
    <t>Quad</t>
  </si>
  <si>
    <t>Other/Notes:</t>
  </si>
  <si>
    <t>HMOs: THMO, SHMO, PSHMO, ADVHMO; PPOs: PPO, SOL, EPO, CDHP, BCE; VIVITY; EQ;  AHM or ABF (see tabs)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</si>
  <si>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</si>
  <si>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</si>
  <si>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</si>
  <si>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</si>
  <si>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</si>
  <si>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</si>
  <si>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</si>
  <si>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</si>
  <si>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</si>
  <si>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</si>
  <si>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</si>
  <si>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</si>
  <si>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</si>
  <si>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</si>
  <si>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</si>
  <si>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INITIAL PROPOSAL COMPARISON</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</si>
  <si>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</si>
  <si>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</si>
  <si>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</si>
  <si>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</si>
  <si>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</si>
  <si>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</si>
  <si>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</si>
  <si>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</si>
  <si>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</si>
  <si>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</si>
  <si>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</si>
  <si>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</si>
  <si>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</si>
  <si>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</si>
  <si>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</si>
  <si>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</si>
  <si>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</si>
  <si>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</si>
  <si>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</si>
  <si>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AFTER RATE BANK COMPARISON</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</si>
  <si>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</si>
  <si>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</si>
  <si>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</si>
  <si>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</si>
  <si>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</si>
  <si>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</si>
  <si>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</si>
  <si>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</si>
  <si>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</si>
  <si>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</si>
  <si>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</si>
  <si>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</si>
  <si>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</si>
  <si>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</si>
  <si>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</si>
  <si>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</si>
  <si>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</si>
  <si>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</si>
  <si>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</si>
  <si>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</si>
  <si>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</si>
  <si>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</si>
  <si>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</si>
  <si>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</si>
  <si>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</si>
  <si>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</si>
  <si>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</si>
  <si>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</si>
  <si>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</si>
  <si>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</si>
  <si>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</si>
  <si>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</si>
  <si>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</si>
  <si>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</si>
  <si>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</si>
  <si>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</si>
  <si>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</si>
  <si>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</si>
  <si>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</si>
  <si>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</si>
  <si>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</si>
  <si>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</si>
  <si>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</si>
  <si>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</si>
  <si>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</si>
  <si>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</si>
  <si>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</si>
  <si>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</si>
  <si>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</si>
  <si>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</si>
  <si>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</si>
  <si>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</si>
  <si>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</si>
  <si>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</si>
  <si>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</si>
  <si>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</si>
  <si>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</si>
  <si>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</si>
  <si>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</si>
  <si>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</si>
  <si>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</si>
  <si>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</si>
  <si>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</si>
  <si>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</si>
  <si>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</si>
  <si>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</si>
  <si>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</si>
  <si>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</si>
  <si>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</si>
  <si>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</si>
  <si>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</si>
  <si>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</si>
  <si>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</si>
  <si>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</si>
  <si>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</si>
  <si>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</si>
  <si>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</si>
  <si>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</si>
  <si>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</si>
  <si>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</si>
  <si>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</si>
  <si>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</si>
  <si>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</si>
  <si>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</si>
  <si>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</si>
  <si>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</si>
  <si>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</si>
  <si>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</si>
  <si>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</si>
  <si>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</si>
  <si>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</si>
  <si>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</si>
  <si>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</si>
  <si>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</si>
  <si>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</si>
  <si>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</si>
  <si>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</si>
  <si>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</si>
  <si>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</si>
  <si>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</si>
  <si>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</si>
  <si>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</si>
  <si>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</si>
  <si>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</si>
  <si>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</si>
  <si>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</si>
  <si>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</si>
  <si>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</si>
  <si>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</si>
  <si>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</si>
  <si>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</si>
  <si>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</si>
  <si>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</si>
  <si>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</si>
  <si>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</si>
  <si>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</si>
  <si>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</si>
  <si>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</si>
  <si>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</si>
  <si>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</si>
  <si>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</si>
  <si>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</si>
  <si>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</si>
  <si>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</si>
  <si>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</si>
  <si>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</si>
  <si>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</si>
  <si>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</si>
  <si>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</si>
  <si>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</si>
  <si>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</si>
  <si>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</si>
  <si>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</si>
  <si>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</si>
  <si>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</si>
  <si>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</si>
  <si>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</si>
  <si>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</si>
  <si>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</si>
  <si>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</si>
  <si>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</si>
  <si>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</si>
  <si>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</si>
  <si>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</si>
  <si>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</si>
  <si>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</si>
  <si>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</si>
  <si>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</si>
  <si>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</si>
  <si>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</si>
  <si>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</si>
  <si>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</si>
  <si>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</si>
  <si>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</si>
  <si>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</si>
  <si>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</si>
  <si>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</si>
  <si>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</si>
  <si>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</si>
  <si>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</si>
  <si>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</si>
  <si>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</si>
  <si>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</si>
  <si>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</si>
  <si>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</si>
  <si>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</si>
  <si>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</si>
  <si>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</si>
  <si>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</si>
  <si>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</si>
  <si>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</si>
  <si>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</si>
  <si>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</si>
  <si>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</si>
  <si>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</si>
  <si>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</si>
  <si>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</si>
  <si>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</si>
  <si>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</si>
  <si>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</si>
  <si>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</si>
  <si>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</si>
  <si>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</si>
  <si>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</si>
  <si>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</si>
  <si>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</si>
  <si>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</si>
  <si>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</si>
  <si>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</si>
  <si>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</si>
  <si>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</si>
  <si>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</si>
  <si>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</si>
  <si>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</si>
  <si>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</si>
  <si>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</si>
  <si>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</si>
  <si>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</si>
  <si>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</si>
  <si>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</si>
  <si>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</si>
  <si>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</si>
  <si>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</si>
  <si>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</si>
  <si>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</si>
  <si>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</si>
  <si>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</si>
  <si>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</si>
  <si>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</si>
  <si>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</si>
  <si>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</si>
  <si>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</si>
  <si>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</si>
  <si>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</si>
  <si>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</si>
  <si>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</si>
  <si>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</si>
  <si>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</si>
  <si>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</si>
  <si>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</si>
  <si>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</si>
  <si>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</si>
  <si>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</si>
  <si>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</si>
  <si>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</si>
  <si>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</si>
  <si>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</si>
  <si>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</si>
  <si>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</si>
  <si>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</si>
  <si>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</si>
  <si>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</si>
  <si>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</si>
  <si>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</si>
  <si>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</si>
  <si>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</si>
  <si>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</si>
  <si>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</si>
  <si>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</si>
  <si>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</si>
  <si>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</si>
  <si>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</si>
  <si>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</si>
  <si>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</si>
  <si>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</si>
  <si>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</si>
  <si>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</si>
  <si>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</si>
  <si>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</si>
  <si>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</si>
  <si>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</si>
  <si>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</si>
  <si>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</si>
  <si>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</si>
  <si>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</si>
  <si>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</si>
  <si>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</si>
  <si>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</si>
  <si>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</si>
  <si>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</si>
  <si>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</si>
  <si>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</si>
  <si>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</si>
  <si>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</si>
  <si>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</si>
  <si>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</si>
  <si>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</si>
  <si>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</si>
  <si>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</si>
  <si>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</si>
  <si>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</si>
  <si>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</si>
  <si>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</si>
  <si>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</si>
  <si>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</si>
  <si>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</si>
  <si>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</si>
  <si>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</si>
  <si>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</si>
  <si>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</si>
  <si>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</si>
  <si>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</si>
  <si>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</si>
  <si>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</si>
  <si>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</si>
  <si>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</si>
  <si>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</si>
  <si>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</si>
  <si>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</si>
  <si>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</si>
  <si>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</si>
  <si>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</si>
  <si>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</si>
  <si>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</si>
  <si>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</si>
  <si>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</si>
  <si>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</si>
  <si>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</si>
  <si>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</si>
  <si>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</si>
  <si>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</si>
  <si>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</si>
  <si>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</si>
  <si>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</si>
  <si>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</si>
  <si>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</si>
  <si>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</si>
  <si>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</si>
  <si>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</si>
  <si>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</si>
  <si>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</si>
  <si>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</si>
  <si>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</si>
  <si>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</si>
  <si>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</si>
  <si>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</si>
  <si>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</si>
  <si>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</si>
  <si>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</si>
  <si>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</si>
  <si>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</si>
  <si>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</si>
  <si>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</si>
  <si>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</si>
  <si>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</si>
  <si>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</si>
  <si>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</si>
  <si>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</si>
  <si>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</si>
  <si>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</si>
  <si>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</si>
  <si>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</si>
  <si>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</si>
  <si>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</si>
  <si>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</si>
  <si>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</si>
  <si>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</si>
  <si>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</si>
  <si>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</si>
  <si>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</si>
  <si>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</si>
  <si>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</si>
  <si>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</si>
  <si>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</si>
  <si>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</si>
  <si>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</si>
  <si>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</si>
  <si>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</si>
  <si>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</si>
  <si>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</si>
  <si>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</si>
  <si>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</si>
  <si>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</si>
  <si>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</si>
  <si>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</si>
  <si>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</si>
  <si>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</si>
  <si>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</si>
  <si>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</si>
  <si>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</si>
  <si>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</si>
  <si>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</si>
  <si>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</si>
  <si>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</si>
  <si>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</si>
  <si>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</si>
  <si>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</si>
  <si>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</si>
  <si>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</si>
  <si>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</si>
  <si>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</si>
  <si>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</si>
  <si>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</si>
  <si>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</si>
  <si>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</si>
  <si>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</si>
  <si>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</si>
  <si>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</si>
  <si>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</si>
  <si>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</si>
  <si>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</si>
  <si>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</si>
  <si>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</si>
  <si>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</si>
  <si>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</si>
  <si>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</si>
  <si>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</si>
  <si>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</si>
  <si>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</si>
  <si>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</si>
  <si>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</si>
  <si>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</si>
  <si>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</si>
  <si>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</si>
  <si>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</si>
  <si>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</si>
  <si>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</si>
  <si>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</si>
  <si>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</si>
  <si>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</si>
  <si>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</si>
  <si>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</si>
  <si>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</si>
  <si>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</si>
  <si>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</si>
  <si>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</si>
  <si>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</si>
  <si>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</si>
  <si>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</si>
  <si>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</si>
  <si>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</si>
  <si>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</si>
  <si>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</si>
  <si>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</si>
  <si>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</si>
  <si>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</si>
  <si>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</si>
  <si>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</si>
  <si>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</si>
  <si>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</si>
  <si>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</si>
  <si>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</si>
  <si>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</si>
  <si>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</si>
  <si>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</si>
  <si>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</si>
  <si>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</si>
  <si>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</si>
  <si>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</si>
  <si>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</si>
  <si>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</si>
  <si>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</si>
  <si>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</si>
  <si>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</si>
  <si>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</si>
  <si>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</si>
  <si>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</si>
  <si>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</si>
  <si>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</si>
  <si>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</si>
  <si>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</si>
  <si>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</si>
  <si>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</si>
  <si>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</si>
  <si>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</si>
  <si>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</si>
  <si>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</si>
  <si>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</si>
  <si>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</si>
  <si>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</si>
  <si>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</si>
  <si>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</si>
  <si>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</si>
  <si>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</si>
  <si>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</si>
  <si>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</si>
  <si>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</si>
  <si>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</si>
  <si>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</si>
  <si>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</si>
  <si>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</si>
  <si>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</si>
  <si>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</si>
  <si>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</si>
  <si>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</si>
  <si>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</si>
  <si>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</si>
  <si>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</si>
  <si>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</si>
  <si>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</si>
  <si>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</si>
  <si>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</si>
  <si>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</si>
  <si>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</si>
  <si>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</si>
  <si>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</si>
  <si>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</si>
  <si>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</si>
  <si>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</si>
  <si>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</si>
  <si>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</si>
  <si>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</si>
  <si>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</si>
  <si>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</si>
  <si>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</si>
  <si>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</si>
  <si>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</si>
  <si>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</si>
  <si>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</si>
  <si>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</si>
  <si>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</si>
  <si>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</si>
  <si>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</si>
  <si>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</si>
  <si>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</si>
  <si>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</si>
  <si>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</si>
  <si>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</si>
  <si>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</si>
  <si>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</si>
  <si>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</si>
  <si>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</si>
  <si>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</si>
  <si>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</si>
  <si>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</si>
  <si>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</si>
  <si>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</si>
  <si>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</si>
  <si>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</si>
  <si>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</si>
  <si>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</si>
  <si>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</si>
  <si>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</si>
  <si>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</si>
  <si>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</si>
  <si>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</si>
  <si>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</si>
  <si>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</si>
  <si>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</si>
  <si>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</si>
  <si>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</si>
  <si>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</si>
  <si>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</si>
  <si>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</si>
  <si>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</si>
  <si>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</si>
  <si>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</si>
  <si>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</si>
  <si>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</si>
  <si>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</si>
  <si>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</si>
  <si>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</si>
  <si>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</si>
  <si>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</si>
  <si>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</si>
  <si>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</si>
  <si>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</si>
  <si>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</si>
  <si>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</si>
  <si>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</si>
  <si>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</si>
  <si>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</si>
  <si>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</si>
  <si>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</si>
  <si>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</si>
  <si>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</si>
  <si>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</si>
  <si>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</si>
  <si>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</si>
  <si>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</si>
  <si>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</si>
  <si>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</si>
  <si>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</si>
  <si>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</si>
  <si>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</si>
  <si>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</si>
  <si>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</si>
  <si>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</si>
  <si>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</si>
  <si>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</si>
  <si>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</si>
  <si>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</si>
  <si>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</si>
  <si>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</si>
  <si>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</si>
  <si>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</si>
  <si>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</si>
  <si>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</si>
  <si>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</si>
  <si>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</si>
  <si>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</si>
  <si>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</si>
  <si>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</si>
  <si>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</si>
  <si>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</si>
  <si>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</si>
  <si>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</si>
  <si>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</si>
  <si>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</si>
  <si>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</si>
  <si>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</si>
  <si>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</si>
  <si>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</si>
  <si>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</si>
  <si>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</si>
  <si>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</si>
  <si>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</si>
  <si>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</si>
  <si>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</si>
  <si>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</si>
  <si>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</si>
  <si>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</si>
  <si>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</si>
  <si>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</si>
  <si>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</si>
  <si>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</si>
  <si>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</si>
  <si>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</si>
  <si>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</si>
  <si>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</si>
  <si>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</si>
  <si>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</si>
  <si>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</si>
  <si>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</si>
  <si>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</si>
  <si>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</si>
  <si>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</si>
  <si>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</si>
  <si>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</si>
  <si>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</si>
  <si>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</si>
  <si>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</si>
  <si>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</si>
  <si>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</si>
  <si>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</si>
  <si>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</si>
  <si>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</si>
  <si>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</si>
  <si>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</si>
  <si>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</si>
  <si>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</si>
  <si>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</si>
  <si>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</si>
  <si>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</si>
  <si>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</si>
  <si>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</si>
  <si>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</si>
  <si>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</si>
  <si>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</si>
  <si>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</si>
  <si>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</si>
  <si>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</si>
  <si>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</si>
  <si>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</si>
  <si>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</si>
  <si>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</si>
  <si>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</si>
  <si>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</si>
  <si>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</si>
  <si>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</si>
  <si>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</si>
  <si>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</si>
  <si>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</si>
  <si>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</si>
  <si>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</si>
  <si>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</si>
  <si>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</si>
  <si>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</si>
  <si>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</si>
  <si>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</si>
  <si>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</si>
  <si>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</si>
  <si>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</si>
  <si>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</si>
  <si>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</si>
  <si>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</si>
  <si>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</si>
  <si>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</si>
  <si>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</si>
  <si>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</si>
  <si>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</si>
  <si>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</si>
  <si>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</si>
  <si>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</si>
  <si>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</si>
  <si>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</si>
  <si>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</si>
  <si>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</si>
  <si>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</si>
  <si>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</si>
  <si>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</si>
  <si>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</si>
  <si>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</si>
  <si>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</si>
  <si>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</si>
  <si>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</si>
  <si>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</si>
  <si>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</si>
  <si>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</si>
  <si>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</si>
  <si>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</si>
  <si>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</si>
  <si>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</si>
  <si>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</si>
  <si>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</si>
  <si>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</si>
  <si>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</si>
  <si>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</si>
  <si>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</si>
  <si>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</si>
  <si>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</si>
  <si>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</si>
  <si>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</si>
  <si>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</si>
  <si>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</si>
  <si>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</si>
  <si>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</si>
  <si>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</si>
  <si>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</si>
  <si>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</si>
  <si>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</si>
  <si>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</si>
  <si>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</si>
  <si>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</si>
  <si>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</si>
  <si>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</si>
  <si>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</si>
  <si>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</si>
  <si>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</si>
  <si>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</si>
  <si>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</si>
  <si>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</si>
  <si>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</si>
  <si>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</si>
  <si>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</si>
  <si>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</si>
  <si>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</si>
  <si>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</si>
  <si>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</si>
  <si>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</si>
  <si>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</si>
  <si>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</si>
  <si>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</si>
  <si>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</si>
  <si>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</si>
  <si>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</si>
  <si>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</si>
  <si>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</si>
  <si>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</si>
  <si>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</si>
  <si>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</si>
  <si>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</si>
  <si>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</si>
  <si>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</si>
  <si>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</si>
  <si>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</si>
  <si>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</si>
  <si>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</si>
  <si>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</si>
  <si>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</si>
  <si>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</si>
  <si>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</si>
  <si>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</si>
  <si>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</si>
  <si>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</si>
  <si>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</si>
  <si>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</si>
  <si>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</si>
  <si>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</si>
  <si>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</si>
  <si>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</si>
  <si>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</si>
  <si>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</si>
  <si>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</si>
  <si>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</si>
  <si>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</si>
  <si>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</si>
  <si>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</si>
  <si>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</si>
  <si>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</si>
  <si>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</si>
  <si>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</si>
  <si>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</si>
  <si>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</si>
  <si>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</si>
  <si>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</si>
  <si>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</si>
  <si>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</si>
  <si>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</si>
  <si>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</si>
  <si>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</si>
  <si>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</si>
  <si>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</si>
  <si>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</si>
  <si>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</si>
  <si>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</si>
  <si>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</si>
  <si>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</si>
  <si>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</si>
  <si>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</si>
  <si>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</si>
  <si>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</si>
  <si>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</si>
  <si>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</si>
  <si>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</si>
  <si>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</si>
  <si>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</si>
  <si>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</si>
  <si>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</si>
  <si>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</si>
  <si>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</si>
  <si>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</si>
  <si>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</si>
  <si>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</si>
  <si>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</si>
  <si>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</si>
  <si>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</si>
  <si>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</si>
  <si>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</si>
  <si>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</si>
  <si>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</si>
  <si>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</si>
  <si>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</si>
  <si>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</si>
  <si>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</si>
  <si>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</si>
  <si>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</si>
  <si>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</si>
  <si>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</si>
  <si>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</si>
  <si>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</si>
  <si>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</si>
  <si>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</si>
  <si>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</si>
  <si>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</si>
  <si>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</si>
  <si>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</si>
  <si>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</si>
  <si>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</si>
  <si>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</si>
  <si>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</si>
  <si>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</si>
  <si>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</si>
  <si>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</si>
  <si>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</si>
  <si>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</si>
  <si>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</si>
  <si>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</si>
  <si>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</si>
  <si>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</si>
  <si>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</si>
  <si>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</si>
  <si>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</si>
  <si>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</si>
  <si>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</si>
  <si>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</si>
  <si>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</si>
  <si>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</si>
  <si>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</si>
  <si>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</si>
  <si>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</si>
  <si>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</si>
  <si>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</si>
  <si>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</si>
  <si>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</si>
  <si>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</si>
  <si>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</si>
  <si>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</si>
  <si>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</si>
  <si>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</si>
  <si>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</si>
  <si>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</si>
  <si>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</si>
  <si>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</si>
  <si>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</si>
  <si>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</si>
  <si>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</si>
  <si>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</si>
  <si>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</si>
  <si>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</si>
  <si>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</si>
  <si>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</si>
  <si>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</si>
  <si>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</si>
  <si>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</si>
  <si>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</si>
  <si>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</si>
  <si>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</si>
  <si>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</si>
  <si>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</si>
  <si>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</si>
  <si>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</si>
  <si>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</si>
  <si>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</si>
  <si>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</si>
  <si>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</si>
  <si>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</si>
  <si>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</si>
  <si>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</si>
  <si>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</si>
  <si>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</si>
  <si>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</si>
  <si>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</si>
  <si>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</si>
  <si>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</si>
  <si>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</si>
  <si>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</si>
  <si>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</si>
  <si>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</si>
  <si>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</si>
  <si>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</si>
  <si>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</si>
  <si>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</si>
  <si>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</si>
  <si>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</si>
  <si>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</si>
  <si>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</si>
  <si>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</si>
  <si>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</si>
  <si>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</si>
  <si>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</si>
  <si>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</si>
  <si>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</si>
  <si>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</si>
  <si>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</si>
  <si>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</si>
  <si>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</si>
  <si>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</si>
  <si>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</si>
  <si>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</si>
  <si>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</si>
  <si>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</si>
  <si>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</si>
  <si>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</si>
  <si>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</si>
  <si>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</si>
  <si>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</si>
  <si>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</si>
  <si>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</si>
  <si>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</si>
  <si>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</si>
  <si>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</si>
  <si>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</si>
  <si>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</si>
  <si>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</si>
  <si>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</si>
  <si>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</si>
  <si>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</si>
  <si>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</si>
  <si>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</si>
  <si>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</si>
  <si>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</si>
  <si>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</si>
  <si>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</si>
  <si>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</si>
  <si>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</si>
  <si>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</si>
  <si>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</si>
  <si>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</si>
  <si>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</si>
  <si>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</si>
  <si>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</si>
  <si>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</si>
  <si>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</si>
  <si>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</si>
  <si>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</si>
  <si>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</si>
  <si>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</si>
  <si>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</si>
  <si>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</si>
  <si>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</si>
  <si>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</si>
  <si>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</si>
  <si>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</si>
  <si>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</si>
  <si>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</si>
  <si>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</si>
  <si>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</si>
  <si>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</si>
  <si>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</si>
  <si>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</si>
  <si>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</si>
  <si>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</si>
  <si>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</si>
  <si>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</si>
  <si>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</si>
  <si>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</si>
  <si>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</si>
  <si>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</si>
  <si>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</si>
  <si>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</si>
  <si>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</si>
  <si>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</si>
  <si>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</si>
  <si>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</si>
  <si>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</si>
  <si>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</si>
  <si>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</si>
  <si>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</si>
  <si>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</si>
  <si>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</si>
  <si>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</si>
  <si>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</si>
  <si>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</si>
  <si>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</si>
  <si>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</si>
  <si>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</si>
  <si>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</si>
  <si>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</si>
  <si>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</si>
  <si>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</si>
  <si>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</si>
  <si>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</si>
  <si>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</si>
  <si>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</si>
  <si>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</si>
  <si>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</si>
  <si>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</si>
  <si>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</si>
  <si>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</si>
  <si>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</si>
  <si>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</si>
  <si>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</si>
  <si>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</si>
  <si>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</si>
  <si>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</si>
  <si>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</si>
  <si>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</si>
  <si>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</si>
  <si>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</si>
  <si>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</si>
  <si>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</si>
  <si>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</si>
  <si>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</si>
  <si>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</si>
  <si>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</si>
  <si>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</si>
  <si>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</si>
  <si>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</si>
  <si>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</si>
  <si>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</si>
  <si>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</si>
  <si>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</si>
  <si>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</si>
  <si>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</si>
  <si>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</si>
  <si>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</si>
  <si>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</si>
  <si>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</si>
  <si>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</si>
  <si>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</si>
  <si>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</si>
  <si>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</si>
  <si>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</si>
  <si>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</si>
  <si>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</si>
  <si>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</si>
  <si>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</si>
  <si>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</si>
  <si>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</si>
  <si>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</si>
  <si>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</si>
  <si>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</si>
  <si>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</si>
  <si>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</si>
  <si>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</si>
  <si>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</si>
  <si>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</si>
  <si>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</si>
  <si>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</si>
  <si>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</si>
  <si>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</si>
  <si>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</si>
  <si>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</si>
  <si>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</si>
  <si>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</si>
  <si>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</si>
  <si>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</si>
  <si>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</si>
  <si>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</si>
  <si>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</si>
  <si>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</si>
  <si>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</si>
  <si>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</si>
  <si>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</si>
  <si>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</si>
  <si>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</si>
  <si>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</si>
  <si>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</si>
  <si>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</si>
  <si>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</si>
  <si>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</si>
  <si>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</si>
  <si>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</si>
  <si>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</si>
  <si>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</si>
  <si>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</si>
  <si>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</si>
  <si>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</si>
  <si>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</si>
  <si>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</si>
  <si>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</si>
  <si>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</si>
  <si>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</si>
  <si>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</si>
  <si>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</si>
  <si>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</si>
  <si>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</si>
  <si>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</si>
  <si>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</si>
  <si>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</si>
  <si>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</si>
  <si>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</si>
  <si>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</si>
  <si>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</si>
  <si>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</si>
  <si>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</si>
  <si>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</si>
  <si>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</si>
  <si>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</si>
  <si>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</si>
  <si>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</si>
  <si>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</si>
  <si>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</si>
  <si>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</si>
  <si>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</si>
  <si>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</si>
  <si>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</si>
  <si>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</si>
  <si>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</si>
  <si>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</si>
  <si>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</si>
  <si>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</si>
  <si>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</si>
  <si>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</si>
  <si>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</si>
  <si>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</si>
  <si>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</si>
  <si>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</si>
  <si>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</si>
  <si>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</si>
  <si>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</si>
  <si>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</si>
  <si>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</si>
  <si>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</si>
  <si>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</si>
  <si>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</si>
  <si>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</si>
  <si>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</si>
  <si>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</si>
  <si>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</si>
  <si>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</si>
  <si>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</si>
  <si>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</si>
  <si>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</si>
  <si>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</si>
  <si>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</si>
  <si>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</si>
  <si>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</si>
  <si>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</si>
  <si>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</si>
  <si>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</si>
  <si>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</si>
  <si>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</si>
  <si>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</si>
  <si>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</si>
  <si>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</si>
  <si>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</si>
  <si>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</si>
  <si>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</si>
  <si>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</si>
  <si>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</si>
  <si>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</si>
  <si>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</si>
  <si>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</si>
  <si>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</si>
  <si>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</si>
  <si>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</si>
  <si>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</si>
  <si>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</si>
  <si>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</si>
  <si>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</si>
  <si>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</si>
  <si>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</si>
  <si>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</si>
  <si>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</si>
  <si>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</si>
  <si>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</si>
  <si>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</si>
  <si>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</si>
  <si>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</si>
  <si>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</si>
  <si>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</si>
  <si>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</si>
  <si>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</si>
  <si>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</si>
  <si>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</si>
  <si>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</si>
  <si>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</si>
  <si>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</si>
  <si>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</si>
  <si>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</si>
  <si>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</si>
  <si>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</si>
  <si>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</si>
  <si>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</si>
  <si>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</si>
  <si>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</si>
  <si>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</si>
  <si>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</si>
  <si>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</si>
  <si>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</si>
  <si>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</si>
  <si>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</si>
  <si>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</si>
  <si>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</si>
  <si>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</si>
  <si>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</si>
  <si>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</si>
  <si>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</si>
  <si>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</si>
  <si>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</si>
  <si>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</si>
  <si>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</si>
  <si>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</si>
  <si>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</si>
  <si>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</si>
  <si>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</si>
  <si>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</si>
  <si>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</si>
  <si>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</si>
  <si>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</si>
  <si>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</si>
  <si>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</si>
  <si>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</si>
  <si>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</si>
  <si>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</si>
  <si>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</si>
  <si>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</si>
  <si>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</si>
  <si>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</si>
  <si>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</si>
  <si>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</si>
  <si>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</si>
  <si>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</si>
  <si>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</si>
  <si>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</si>
  <si>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</si>
  <si>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</si>
  <si>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</si>
  <si>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</si>
  <si>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</si>
  <si>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</si>
  <si>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</si>
  <si>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</si>
  <si>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</si>
  <si>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</si>
  <si>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</si>
  <si>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</si>
  <si>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</si>
  <si>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</si>
  <si>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</si>
  <si>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</si>
  <si>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</si>
  <si>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</si>
  <si>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</si>
  <si>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</si>
  <si>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</si>
  <si>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</si>
  <si>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</si>
  <si>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</si>
  <si>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</si>
  <si>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</si>
  <si>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</si>
  <si>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</si>
  <si>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</si>
  <si>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</si>
  <si>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</si>
  <si>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</si>
  <si>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</si>
  <si>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</si>
  <si>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</si>
  <si>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</si>
  <si>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</si>
  <si>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</si>
  <si>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</si>
  <si>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</si>
  <si>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</si>
  <si>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</si>
  <si>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</si>
  <si>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</si>
  <si>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</si>
  <si>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</si>
  <si>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</si>
  <si>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</si>
  <si>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</si>
  <si>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</si>
  <si>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</si>
  <si>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</si>
  <si>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</si>
  <si>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</si>
  <si>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</si>
  <si>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</si>
  <si>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</si>
  <si>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</si>
  <si>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</si>
  <si>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</si>
  <si>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</si>
  <si>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</si>
  <si>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</si>
  <si>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</si>
  <si>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</si>
  <si>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</si>
  <si>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</si>
  <si>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</si>
  <si>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</si>
  <si>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</si>
  <si>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</si>
  <si>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</si>
  <si>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</si>
  <si>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</si>
  <si>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</si>
  <si>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</si>
  <si>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</si>
  <si>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</si>
  <si>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</si>
  <si>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</si>
  <si>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</si>
  <si>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</si>
  <si>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</si>
  <si>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</si>
  <si>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</si>
  <si>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</si>
  <si>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</si>
  <si>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</si>
  <si>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</si>
  <si>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</si>
  <si>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</si>
  <si>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</si>
  <si>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</si>
  <si>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</si>
  <si>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</si>
  <si>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</si>
  <si>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</si>
  <si>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</si>
  <si>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</si>
  <si>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</si>
  <si>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</si>
  <si>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</si>
  <si>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</si>
  <si>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</si>
  <si>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</si>
  <si>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</si>
  <si>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</si>
  <si>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</si>
  <si>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</si>
  <si>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</si>
  <si>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</si>
  <si>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</si>
  <si>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</si>
  <si>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</si>
  <si>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</si>
  <si>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</si>
  <si>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</si>
  <si>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</si>
  <si>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</si>
  <si>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</si>
  <si>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</si>
  <si>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</si>
  <si>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</si>
  <si>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</si>
  <si>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</si>
  <si>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</si>
  <si>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</si>
  <si>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</si>
  <si>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</si>
  <si>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</si>
  <si>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</si>
  <si>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</si>
  <si>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</si>
  <si>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</si>
  <si>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</si>
  <si>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</si>
  <si>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</si>
  <si>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</si>
  <si>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</si>
  <si>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</si>
  <si>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</si>
  <si>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</si>
  <si>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</si>
  <si>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</si>
  <si>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</si>
  <si>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</si>
  <si>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</si>
  <si>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</si>
  <si>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</si>
  <si>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</si>
  <si>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</si>
  <si>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</si>
  <si>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</si>
  <si>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</si>
  <si>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</si>
  <si>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</si>
  <si>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</si>
  <si>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</si>
  <si>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</si>
  <si>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</si>
  <si>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</si>
  <si>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</si>
  <si>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</si>
  <si>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</si>
  <si>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</si>
  <si>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</si>
  <si>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</si>
  <si>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</si>
  <si>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</si>
  <si>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</si>
  <si>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</si>
  <si>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</si>
  <si>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</si>
  <si>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</si>
  <si>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</si>
  <si>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</si>
  <si>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</si>
  <si>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</si>
  <si>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</si>
  <si>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</si>
  <si>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</si>
  <si>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</si>
  <si>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</si>
  <si>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</si>
  <si>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</si>
  <si>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</si>
  <si>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</si>
  <si>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</si>
  <si>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</si>
  <si>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</si>
  <si>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</si>
  <si>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</si>
  <si>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</si>
  <si>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</si>
  <si>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</si>
  <si>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</si>
  <si>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</si>
  <si>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</si>
  <si>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</si>
  <si>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</si>
  <si>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</si>
  <si>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</si>
  <si>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</si>
  <si>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</si>
  <si>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</si>
  <si>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</si>
  <si>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</si>
  <si>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</si>
  <si>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</si>
  <si>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</si>
  <si>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</si>
  <si>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</si>
  <si>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</si>
  <si>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</si>
  <si>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</si>
  <si>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</si>
  <si>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</si>
  <si>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</si>
  <si>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</si>
  <si>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</si>
  <si>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</si>
  <si>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</si>
  <si>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</si>
  <si>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</si>
  <si>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</si>
  <si>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</si>
  <si>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</si>
  <si>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</si>
  <si>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</si>
  <si>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</si>
  <si>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</si>
  <si>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</si>
  <si>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</si>
  <si>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</si>
  <si>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</si>
  <si>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</si>
  <si>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</si>
  <si>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</si>
  <si>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</si>
  <si>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</si>
  <si>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</si>
  <si>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</si>
  <si>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</si>
  <si>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</si>
  <si>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</si>
  <si>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</si>
  <si>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</si>
  <si>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</si>
  <si>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</si>
  <si>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</si>
  <si>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</si>
  <si>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</si>
  <si>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</si>
  <si>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</si>
  <si>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</si>
  <si>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</si>
  <si>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</si>
  <si>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</si>
  <si>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</si>
  <si>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</si>
  <si>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</si>
  <si>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</si>
  <si>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</si>
  <si>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</si>
  <si>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</si>
  <si>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</si>
  <si>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</si>
  <si>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</si>
  <si>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</si>
  <si>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</si>
  <si>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</si>
  <si>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</si>
  <si>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</si>
  <si>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</si>
  <si>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</si>
  <si>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</si>
  <si>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</si>
  <si>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</si>
  <si>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</si>
  <si>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</si>
  <si>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</si>
  <si>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</si>
  <si>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</si>
  <si>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</si>
  <si>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</si>
  <si>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</si>
  <si>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</si>
  <si>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</si>
  <si>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</si>
  <si>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</si>
  <si>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</si>
  <si>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</si>
  <si>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</si>
  <si>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</si>
  <si>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</si>
  <si>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</si>
  <si>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</si>
  <si>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</si>
  <si>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</si>
  <si>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</si>
  <si>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</si>
  <si>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</si>
  <si>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</si>
  <si>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</si>
  <si>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</si>
  <si>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</si>
  <si>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</si>
  <si>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</si>
  <si>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</si>
  <si>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</si>
  <si>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</si>
  <si>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</si>
  <si>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</si>
  <si>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</si>
  <si>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</si>
  <si>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</si>
  <si>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</si>
  <si>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</si>
  <si>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</si>
  <si>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</si>
  <si>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</si>
  <si>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</si>
  <si>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</si>
  <si>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</si>
  <si>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</si>
  <si>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</si>
  <si>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</si>
  <si>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</si>
  <si>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</si>
  <si>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</si>
  <si>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</si>
  <si>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</si>
  <si>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</si>
  <si>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</si>
  <si>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</si>
  <si>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</si>
  <si>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</si>
  <si>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</si>
  <si>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</si>
  <si>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</si>
  <si>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</si>
  <si>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</si>
  <si>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</si>
  <si>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</si>
  <si>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</si>
  <si>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</si>
  <si>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</si>
  <si>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</si>
  <si>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</si>
  <si>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</si>
  <si>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</si>
  <si>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</si>
  <si>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</si>
  <si>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</si>
  <si>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</si>
  <si>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</si>
  <si>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</si>
  <si>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</si>
  <si>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</si>
  <si>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</si>
  <si>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</si>
  <si>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</si>
  <si>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</si>
  <si>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</si>
  <si>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</si>
  <si>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</si>
  <si>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</si>
  <si>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</si>
  <si>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</si>
  <si>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</si>
  <si>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</si>
  <si>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</si>
  <si>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</si>
  <si>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</si>
  <si>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</si>
  <si>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</si>
  <si>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</si>
  <si>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</si>
  <si>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</si>
  <si>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</si>
  <si>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</si>
  <si>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</si>
  <si>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</si>
  <si>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</si>
  <si>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</si>
  <si>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</si>
  <si>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</si>
  <si>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</si>
  <si>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</si>
  <si>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</si>
  <si>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</si>
  <si>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</si>
  <si>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</si>
  <si>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</si>
  <si>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</si>
  <si>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</si>
  <si>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</si>
  <si>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</si>
  <si>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</si>
  <si>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</si>
  <si>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</si>
  <si>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</si>
  <si>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</si>
  <si>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</si>
  <si>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</si>
  <si>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</si>
  <si>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</si>
  <si>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</si>
  <si>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</si>
  <si>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</si>
  <si>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</si>
  <si>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</si>
  <si>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</si>
  <si>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</si>
  <si>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</si>
  <si>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</si>
  <si>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</si>
  <si>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</si>
  <si>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</si>
  <si>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</si>
  <si>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</si>
  <si>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</si>
  <si>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</si>
  <si>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</si>
  <si>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</si>
  <si>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</si>
  <si>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</si>
  <si>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INCUMBENT RATES 1</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</si>
  <si>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</si>
  <si>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</si>
  <si>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</si>
  <si>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</si>
  <si>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</si>
  <si>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</si>
  <si>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</si>
  <si>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</si>
  <si>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</si>
  <si>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</si>
  <si>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</si>
  <si>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</si>
  <si>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</si>
  <si>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EE Only:</t>
  </si>
  <si>
    <t>EC; EE+FAM 3-Tier:</t>
  </si>
  <si>
    <t>ES; EE+FAM 2-Tier; EE+1 3-Tier:</t>
  </si>
  <si>
    <t>SECTION 1:  RFP DETAILS</t>
  </si>
  <si>
    <t>SCENARIO 1</t>
  </si>
  <si>
    <t>SCENARIO 3</t>
  </si>
  <si>
    <t>SCENARIO 2</t>
  </si>
  <si>
    <t xml:space="preserve">CA Dental Rate Request Form - Pool  </t>
  </si>
  <si>
    <t>Complete cells with a white background.</t>
  </si>
  <si>
    <t>Medical Plans</t>
  </si>
  <si>
    <t>Dental PPO Plans</t>
  </si>
  <si>
    <t>Other Ancillary Plans</t>
  </si>
  <si>
    <t>Annually:</t>
  </si>
  <si>
    <t>COMPARISON - SCENARIO 1:</t>
  </si>
  <si>
    <t>COMPARISON - SCENARIO 2:</t>
  </si>
  <si>
    <t>COMPARISON - SCENARIO 3:</t>
  </si>
  <si>
    <t>SECTION 5:  DHMO INCUMBENT ENROLLMENT</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</si>
  <si>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</si>
  <si>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</si>
  <si>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</si>
  <si>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</si>
  <si>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</si>
  <si>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</si>
  <si>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</si>
  <si>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</si>
  <si>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</si>
  <si>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</si>
  <si>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</si>
  <si>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</si>
  <si>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</si>
  <si>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</si>
  <si>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</si>
  <si>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</si>
  <si>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</si>
  <si>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</si>
  <si>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</si>
  <si>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</si>
  <si>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</si>
  <si>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</si>
  <si>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</si>
  <si>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</si>
  <si>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</si>
  <si>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</si>
  <si>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</si>
  <si>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</si>
  <si>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</si>
  <si>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</si>
  <si>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</si>
  <si>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</si>
  <si>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</si>
  <si>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</si>
  <si>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</si>
  <si>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</si>
  <si>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</si>
  <si>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</si>
  <si>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</si>
  <si>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</si>
  <si>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</si>
  <si>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</si>
  <si>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</si>
  <si>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</si>
  <si>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</si>
  <si>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</si>
  <si>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</si>
  <si>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</si>
  <si>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</si>
  <si>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</si>
  <si>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</si>
  <si>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</si>
  <si>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</si>
  <si>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</si>
  <si>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</si>
  <si>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</si>
  <si>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</si>
  <si>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</si>
  <si>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</si>
  <si>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</si>
  <si>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Current Enrollment</t>
  </si>
  <si>
    <t>Current Rates</t>
  </si>
  <si>
    <t>Renewal Rates</t>
  </si>
  <si>
    <t>Tiers</t>
  </si>
  <si>
    <t>SECTION 2:  COMMENTS OR STRATEGY</t>
  </si>
  <si>
    <t>SECTION 3:  DPPO INCUMBENT INFO OPTION 1</t>
  </si>
  <si>
    <t>SECTION 4:  DPPO INCUMBENT INFO OPTION 2</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</si>
  <si>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</si>
  <si>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</si>
  <si>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</si>
  <si>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</si>
  <si>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</si>
  <si>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</si>
  <si>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</si>
  <si>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</si>
  <si>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</si>
  <si>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</si>
  <si>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</si>
  <si>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</si>
  <si>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</si>
  <si>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ENTER RENEWAL %:</t>
  </si>
  <si>
    <t>HMO:</t>
  </si>
  <si>
    <t>PPO:</t>
  </si>
  <si>
    <t>CDHP:</t>
  </si>
  <si>
    <t>RATE BANK DISCOUNT:</t>
  </si>
  <si>
    <t>SOL:</t>
  </si>
  <si>
    <t>Passive</t>
  </si>
  <si>
    <t>Adult &amp; Dependent Children</t>
  </si>
  <si>
    <t>Printed Quote Option:</t>
  </si>
  <si>
    <t>No. of Tiers to Quote:</t>
  </si>
  <si>
    <t>Kaiser or SIMNSA:</t>
  </si>
  <si>
    <t>NO. OF MEDICAL PLANS:</t>
  </si>
  <si>
    <t>BUNDLING DISCOUNT (Check Below Plans that Sold)</t>
  </si>
  <si>
    <t>Dual Option PPO</t>
  </si>
  <si>
    <t>90th percentile</t>
  </si>
  <si>
    <t>Outpatient Hospital</t>
  </si>
  <si>
    <t>Anthem PPO HSA 1350/4500 10/30 LHSA287H</t>
  </si>
  <si>
    <t>$1350/$2700/$3000 in; $4050/$4050/$8100 out</t>
  </si>
  <si>
    <t>$1500/$2700/$3000 in; $4500/$4500/$9000 out</t>
  </si>
  <si>
    <t>$2000/$2700/$4000 in; $6000/$6000/$12000 out</t>
  </si>
  <si>
    <t>Anthem PPO HSA 2700/0</t>
  </si>
  <si>
    <t>Anthem PPO HSA 2700/20</t>
  </si>
  <si>
    <t>$6950/$13300</t>
  </si>
  <si>
    <t>2018 PLAN NAME</t>
  </si>
  <si>
    <t>Ded/Mbr</t>
  </si>
  <si>
    <t>VALUE HMO COPAY</t>
  </si>
  <si>
    <t>CLASSIC HMO</t>
  </si>
  <si>
    <t>VALUE HMO COINSURANCE</t>
  </si>
  <si>
    <t>VALUE HMO DEDUCTIBLE</t>
  </si>
  <si>
    <t>HEALTHY SUPPORT HMO</t>
  </si>
  <si>
    <t>ELEMENTS CHOICE HMO</t>
  </si>
  <si>
    <t>EXCLUSIVE VALUE - NON CA ONLY</t>
  </si>
  <si>
    <t>EXCLUSIVE CLASSIC - NON CA ONLY</t>
  </si>
  <si>
    <t>EPO PLAN - CA OR NON-CA (Rich In-Network benefits, no gatekeeper, no out-of-network benefits)</t>
  </si>
  <si>
    <t>Active</t>
  </si>
  <si>
    <t>UW Approval Not Required</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</si>
  <si>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</si>
  <si>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</si>
  <si>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</si>
  <si>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</si>
  <si>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</si>
  <si>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</si>
  <si>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</si>
  <si>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</si>
  <si>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</si>
  <si>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</si>
  <si>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</si>
  <si>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</si>
  <si>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</si>
  <si>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</si>
  <si>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</si>
  <si>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</si>
  <si>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</si>
  <si>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</si>
  <si>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</si>
  <si>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</si>
  <si>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</si>
  <si>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</si>
  <si>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</si>
  <si>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</si>
  <si>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EXHIBIT - 3 TIER RATES</t>
  </si>
  <si>
    <t>EXHIBIT - 4 TIER RATES</t>
  </si>
  <si>
    <t>EE+1</t>
  </si>
  <si>
    <t>EE+2</t>
  </si>
  <si>
    <t>Rate Bank Discount - DO NOT TOUCH</t>
  </si>
  <si>
    <t>*SEL HMO/HMO/PPO
* Hi-Low HMO/PPO</t>
  </si>
  <si>
    <t>Willis Towers</t>
  </si>
  <si>
    <t>HIGH HMO</t>
  </si>
  <si>
    <t>0</t>
  </si>
  <si>
    <t>2X2</t>
  </si>
  <si>
    <t>$30</t>
  </si>
  <si>
    <t>$500</t>
  </si>
  <si>
    <t>$250</t>
  </si>
  <si>
    <t>$10/20/35</t>
  </si>
  <si>
    <t>250X2/500X2</t>
  </si>
  <si>
    <t>2250X2/4.5X2oon</t>
  </si>
  <si>
    <t>$20</t>
  </si>
  <si>
    <t>20%/40%OON</t>
  </si>
  <si>
    <t>$15/25/40</t>
  </si>
  <si>
    <t>$20/40</t>
  </si>
  <si>
    <t>AETNA</t>
  </si>
  <si>
    <t>LOW HMO (avn - VALUE)</t>
  </si>
  <si>
    <t>All Quote Options</t>
  </si>
  <si>
    <t>DHMO &amp; DPPO</t>
  </si>
  <si>
    <t>Blue View Vision</t>
  </si>
  <si>
    <t>Fully Insured</t>
  </si>
  <si>
    <t>24 months</t>
  </si>
  <si>
    <t>Voluntary</t>
  </si>
  <si>
    <t>Traditional</t>
  </si>
  <si>
    <t>Priority Select</t>
  </si>
  <si>
    <t>T-HMO  - PAGE 14  /PS-HMO - PAGE 15 / PPO - PAGE 23</t>
  </si>
  <si>
    <t>5% HMO/25% PPO</t>
  </si>
  <si>
    <t>18% is the initial renewal, pre-negotiations</t>
  </si>
  <si>
    <t>aetna</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</si>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</sst>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sz val="8"/>
      <color rgb="FF000000"/>
      <name val="Tahoma"/>
      <family val="2"/>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2"/>
      <color theme="3" tint="0.59999389629810485"/>
      <name val="Calibri"/>
      <family val="2"/>
      <scheme val="minor"/>
    </font>
    <font>
      <sz val="11"/>
      <color theme="0" tint="-4.9989318521683403E-2"/>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14"/>
      <color rgb="FFFF0000"/>
      <name val="Calibri"/>
      <family val="2"/>
      <scheme val="minor"/>
    </font>
    <font>
      <b/>
      <sz val="18"/>
      <color rgb="FFFF0000"/>
      <name val="Century Gothic"/>
      <family val="2"/>
    </font>
    <font>
      <sz val="10"/>
      <color rgb="FFFF0000"/>
      <name val="Calibri"/>
      <family val="2"/>
      <scheme val="minor"/>
    </font>
  </fonts>
  <fills count="33">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theme="2"/>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s>
  <borders count="263">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n">
        <color rgb="FF366092"/>
      </left>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style="thick">
        <color theme="0"/>
      </right>
      <top style="thin">
        <color rgb="FF4E81BE"/>
      </top>
      <bottom/>
      <diagonal/>
    </border>
    <border>
      <left style="thick">
        <color theme="0"/>
      </left>
      <right/>
      <top style="thin">
        <color rgb="FF4E81BE"/>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style="thick">
        <color theme="4" tint="-0.24994659260841701"/>
      </left>
      <right style="thin">
        <color theme="4" tint="-0.24994659260841701"/>
      </right>
      <top style="thick">
        <color theme="4" tint="-0.24994659260841701"/>
      </top>
      <bottom style="thin">
        <color theme="4" tint="-0.24994659260841701"/>
      </bottom>
      <diagonal/>
    </border>
    <border>
      <left style="thin">
        <color theme="4" tint="-0.24994659260841701"/>
      </left>
      <right style="thick">
        <color theme="4" tint="-0.24994659260841701"/>
      </right>
      <top style="thick">
        <color theme="4" tint="-0.24994659260841701"/>
      </top>
      <bottom style="thin">
        <color theme="4" tint="-0.24994659260841701"/>
      </bottom>
      <diagonal/>
    </border>
    <border>
      <left/>
      <right style="thick">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ck">
        <color theme="4" tint="-0.24994659260841701"/>
      </bottom>
      <diagonal/>
    </border>
    <border>
      <left/>
      <right style="thick">
        <color theme="4" tint="-0.24994659260841701"/>
      </right>
      <top/>
      <bottom/>
      <diagonal/>
    </border>
    <border>
      <left/>
      <right/>
      <top/>
      <bottom style="thick">
        <color theme="4" tint="-0.24994659260841701"/>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style="medium">
        <color theme="1"/>
      </left>
      <right style="medium">
        <color theme="1"/>
      </right>
      <top style="medium">
        <color theme="1"/>
      </top>
      <bottom style="medium">
        <color theme="1"/>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style="thin">
        <color theme="4" tint="-0.24994659260841701"/>
      </left>
      <right style="thin">
        <color theme="4" tint="-0.24994659260841701"/>
      </right>
      <top style="thick">
        <color theme="4" tint="-0.24994659260841701"/>
      </top>
      <bottom style="thin">
        <color theme="4" tint="-0.24994659260841701"/>
      </bottom>
      <diagonal/>
    </border>
    <border>
      <left style="thick">
        <color theme="4" tint="-0.24994659260841701"/>
      </left>
      <right/>
      <top style="thick">
        <color theme="4" tint="-0.24994659260841701"/>
      </top>
      <bottom style="thin">
        <color theme="4" tint="-0.24994659260841701"/>
      </bottom>
      <diagonal/>
    </border>
    <border>
      <left/>
      <right/>
      <top style="thick">
        <color theme="4" tint="-0.24994659260841701"/>
      </top>
      <bottom style="thin">
        <color theme="4" tint="-0.24994659260841701"/>
      </bottom>
      <diagonal/>
    </border>
    <border>
      <left/>
      <right style="thick">
        <color theme="4" tint="-0.24994659260841701"/>
      </right>
      <top style="thick">
        <color theme="4" tint="-0.24994659260841701"/>
      </top>
      <bottom style="thin">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style="thin">
        <color theme="4" tint="-0.24994659260841701"/>
      </right>
      <top style="thin">
        <color theme="4" tint="-0.24994659260841701"/>
      </top>
      <bottom/>
      <diagonal/>
    </border>
    <border>
      <left style="medium">
        <color theme="4" tint="-0.24994659260841701"/>
      </left>
      <right/>
      <top style="thin">
        <color theme="4" tint="-0.24994659260841701"/>
      </top>
      <bottom style="medium">
        <color theme="4" tint="-0.24994659260841701"/>
      </bottom>
      <diagonal/>
    </border>
    <border>
      <left/>
      <right/>
      <top style="thin">
        <color rgb="FF4E81BE"/>
      </top>
      <bottom/>
      <diagonal/>
    </border>
    <border>
      <left style="thin">
        <color theme="4" tint="-0.24994659260841701"/>
      </left>
      <right/>
      <top style="thick">
        <color theme="0"/>
      </top>
      <bottom style="thin">
        <color auto="1"/>
      </bottom>
      <diagonal/>
    </border>
    <border>
      <left/>
      <right/>
      <top style="thick">
        <color theme="0"/>
      </top>
      <bottom style="thin">
        <color auto="1"/>
      </bottom>
      <diagonal/>
    </border>
    <border>
      <left/>
      <right style="medium">
        <color theme="4" tint="-0.24994659260841701"/>
      </right>
      <top style="thick">
        <color theme="0"/>
      </top>
      <bottom style="thin">
        <color auto="1"/>
      </bottom>
      <diagonal/>
    </border>
    <border>
      <left style="thick">
        <color theme="0"/>
      </left>
      <right style="thick">
        <color theme="0"/>
      </right>
      <top style="thin">
        <color rgb="FF4E81BE"/>
      </top>
      <bottom/>
      <diagonal/>
    </border>
    <border>
      <left/>
      <right style="thick">
        <color theme="4" tint="-0.24994659260841701"/>
      </right>
      <top/>
      <bottom style="thin">
        <color theme="4" tint="-0.24994659260841701"/>
      </bottom>
      <diagonal/>
    </border>
    <border>
      <left/>
      <right style="thick">
        <color theme="4" tint="-0.24994659260841701"/>
      </right>
      <top style="thin">
        <color theme="4" tint="-0.24994659260841701"/>
      </top>
      <bottom/>
      <diagonal/>
    </border>
    <border>
      <left style="thin">
        <color theme="4" tint="-0.24994659260841701"/>
      </left>
      <right style="thick">
        <color theme="4" tint="-0.24994659260841701"/>
      </right>
      <top/>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right style="thin">
        <color theme="4" tint="-0.24994659260841701"/>
      </right>
      <top style="medium">
        <color theme="4" tint="-0.24994659260841701"/>
      </top>
      <bottom style="medium">
        <color theme="4" tint="-0.24994659260841701"/>
      </bottom>
      <diagonal/>
    </border>
    <border>
      <left style="thin">
        <color theme="4" tint="-0.24994659260841701"/>
      </left>
      <right style="medium">
        <color theme="4" tint="-0.24994659260841701"/>
      </right>
      <top style="medium">
        <color theme="4" tint="-0.24994659260841701"/>
      </top>
      <bottom style="medium">
        <color theme="4" tint="-0.24994659260841701"/>
      </bottom>
      <diagonal/>
    </border>
    <border>
      <left/>
      <right style="thick">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n">
        <color theme="4" tint="-0.24994659260841701"/>
      </left>
      <right style="thick">
        <color theme="4" tint="-0.24994659260841701"/>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n">
        <color theme="4" tint="-0.24994659260841701"/>
      </left>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6"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145">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9" fontId="10" fillId="3" borderId="30" xfId="2" applyFont="1" applyFill="1" applyBorder="1" applyAlignment="1">
      <alignment horizontal="right"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8" fillId="16" borderId="0" xfId="8" applyFont="1" applyFill="1" applyProtection="1"/>
    <xf numFmtId="0" fontId="8" fillId="16" borderId="0" xfId="8" applyFont="1" applyFill="1" applyProtection="1"/>
    <xf numFmtId="0" fontId="29" fillId="16" borderId="0" xfId="8" applyFont="1" applyFill="1" applyBorder="1" applyProtection="1"/>
    <xf numFmtId="0" fontId="8" fillId="16" borderId="0" xfId="8" applyFont="1" applyFill="1" applyBorder="1" applyProtection="1"/>
    <xf numFmtId="0" fontId="0" fillId="0" borderId="0" xfId="0" applyFont="1" applyProtection="1"/>
    <xf numFmtId="0" fontId="29" fillId="0" borderId="0" xfId="8" applyFont="1" applyFill="1" applyBorder="1" applyProtection="1"/>
    <xf numFmtId="0" fontId="8" fillId="0" borderId="0" xfId="8" applyFont="1" applyFill="1" applyBorder="1" applyProtection="1"/>
    <xf numFmtId="0" fontId="8" fillId="0" borderId="0" xfId="8" applyFont="1" applyFill="1" applyProtection="1"/>
    <xf numFmtId="0" fontId="30"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1" fillId="0" borderId="0" xfId="0" applyFont="1" applyFill="1" applyAlignment="1" applyProtection="1">
      <alignment wrapText="1"/>
    </xf>
    <xf numFmtId="0" fontId="30" fillId="0" borderId="0" xfId="0" applyFont="1" applyFill="1" applyProtection="1"/>
    <xf numFmtId="0" fontId="30"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2"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3"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2" fillId="0" borderId="0" xfId="0" applyFont="1" applyAlignment="1" applyProtection="1">
      <alignment horizontal="left" vertical="center" indent="1" readingOrder="1"/>
    </xf>
    <xf numFmtId="0" fontId="33"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3"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3" fillId="13" borderId="53" xfId="8" applyFont="1" applyFill="1" applyBorder="1" applyProtection="1"/>
    <xf numFmtId="0" fontId="0" fillId="0" borderId="54" xfId="0" applyFont="1" applyFill="1" applyBorder="1" applyProtection="1">
      <protection locked="0"/>
    </xf>
    <xf numFmtId="0" fontId="33" fillId="16" borderId="0" xfId="8" applyFont="1" applyFill="1" applyBorder="1" applyProtection="1"/>
    <xf numFmtId="0" fontId="29" fillId="16" borderId="0" xfId="8" applyFont="1" applyFill="1" applyBorder="1" applyAlignment="1" applyProtection="1">
      <alignment wrapText="1"/>
    </xf>
    <xf numFmtId="0" fontId="29" fillId="0" borderId="0" xfId="8" applyFont="1" applyFill="1" applyBorder="1" applyAlignment="1" applyProtection="1">
      <alignment wrapText="1"/>
    </xf>
    <xf numFmtId="0" fontId="32" fillId="0" borderId="0" xfId="0" applyFont="1" applyAlignment="1" applyProtection="1">
      <alignment horizontal="left" vertical="center"/>
    </xf>
    <xf numFmtId="0" fontId="20" fillId="0" borderId="54" xfId="8" applyFont="1" applyFill="1" applyBorder="1" applyProtection="1">
      <protection locked="0"/>
    </xf>
    <xf numFmtId="0" fontId="33"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4" fillId="16" borderId="0" xfId="0" applyFont="1" applyFill="1" applyAlignment="1" applyProtection="1">
      <alignment horizontal="left" wrapText="1"/>
    </xf>
    <xf numFmtId="0" fontId="33" fillId="16" borderId="58" xfId="8" applyFont="1" applyFill="1" applyBorder="1" applyAlignment="1" applyProtection="1">
      <alignment horizontal="left"/>
    </xf>
    <xf numFmtId="0" fontId="33" fillId="16" borderId="59" xfId="8" applyFont="1" applyFill="1" applyBorder="1" applyAlignment="1" applyProtection="1">
      <alignment horizontal="left"/>
    </xf>
    <xf numFmtId="0" fontId="33" fillId="13" borderId="61" xfId="8" applyFont="1" applyFill="1" applyBorder="1" applyAlignment="1" applyProtection="1">
      <alignment horizontal="left"/>
    </xf>
    <xf numFmtId="0" fontId="33"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3" fillId="16" borderId="0" xfId="8" applyFont="1" applyFill="1" applyBorder="1" applyAlignment="1" applyProtection="1">
      <alignment horizontal="center" vertical="center" textRotation="90"/>
    </xf>
    <xf numFmtId="0" fontId="20" fillId="16" borderId="0" xfId="8" applyFont="1" applyFill="1" applyBorder="1" applyProtection="1"/>
    <xf numFmtId="0" fontId="33" fillId="16" borderId="68" xfId="8" applyFont="1" applyFill="1" applyBorder="1" applyAlignment="1" applyProtection="1">
      <alignment horizontal="left"/>
    </xf>
    <xf numFmtId="6" fontId="0" fillId="0" borderId="0" xfId="0" applyNumberFormat="1" applyFont="1" applyProtection="1"/>
    <xf numFmtId="0" fontId="33" fillId="13" borderId="69" xfId="8" applyFont="1" applyFill="1" applyBorder="1" applyAlignment="1" applyProtection="1">
      <alignment horizontal="left"/>
    </xf>
    <xf numFmtId="0" fontId="33"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2"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2" fillId="16" borderId="0" xfId="0" applyFont="1" applyFill="1" applyProtection="1"/>
    <xf numFmtId="0" fontId="0" fillId="16" borderId="0" xfId="0" applyFill="1"/>
    <xf numFmtId="0" fontId="35" fillId="16" borderId="0" xfId="0" applyFont="1" applyFill="1"/>
    <xf numFmtId="0" fontId="3" fillId="16" borderId="0" xfId="0" applyFont="1" applyFill="1"/>
    <xf numFmtId="0" fontId="36" fillId="16" borderId="0" xfId="9" applyFill="1" applyAlignment="1" applyProtection="1"/>
    <xf numFmtId="0" fontId="37"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3" fillId="2" borderId="0" xfId="0" applyFont="1" applyFill="1"/>
    <xf numFmtId="0" fontId="0" fillId="0" borderId="0" xfId="0" applyFont="1"/>
    <xf numFmtId="0" fontId="43" fillId="0" borderId="0" xfId="0" applyFont="1"/>
    <xf numFmtId="0" fontId="44"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6"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21" borderId="100"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165" fontId="14" fillId="18" borderId="112" xfId="0" applyNumberFormat="1" applyFont="1" applyFill="1" applyBorder="1"/>
    <xf numFmtId="165" fontId="15" fillId="18" borderId="112" xfId="0" applyNumberFormat="1" applyFont="1" applyFill="1" applyBorder="1"/>
    <xf numFmtId="165" fontId="14" fillId="18" borderId="98" xfId="0" applyNumberFormat="1" applyFont="1" applyFill="1" applyBorder="1"/>
    <xf numFmtId="0" fontId="14" fillId="10" borderId="112" xfId="0" applyNumberFormat="1" applyFont="1" applyFill="1" applyBorder="1" applyAlignment="1">
      <alignment horizontal="center"/>
    </xf>
    <xf numFmtId="0" fontId="50" fillId="10" borderId="112" xfId="0" applyFont="1" applyFill="1" applyBorder="1" applyAlignment="1" applyProtection="1">
      <alignment horizontal="right"/>
    </xf>
    <xf numFmtId="165" fontId="15" fillId="18" borderId="116" xfId="0" applyNumberFormat="1" applyFont="1" applyFill="1" applyBorder="1"/>
    <xf numFmtId="0" fontId="15" fillId="10" borderId="115" xfId="0" applyFont="1" applyFill="1" applyBorder="1" applyAlignment="1" applyProtection="1">
      <alignment horizontal="right"/>
    </xf>
    <xf numFmtId="0" fontId="50"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165" fontId="14" fillId="20" borderId="103" xfId="0" applyNumberFormat="1" applyFont="1" applyFill="1" applyBorder="1"/>
    <xf numFmtId="0" fontId="15" fillId="18" borderId="98" xfId="0" applyFont="1" applyFill="1" applyBorder="1" applyAlignment="1">
      <alignment horizontal="center"/>
    </xf>
    <xf numFmtId="0" fontId="15" fillId="18" borderId="112" xfId="0" applyFont="1" applyFill="1" applyBorder="1" applyAlignment="1">
      <alignment horizontal="center"/>
    </xf>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9" fontId="15" fillId="20" borderId="123" xfId="2" applyFont="1" applyFill="1" applyBorder="1" applyAlignment="1">
      <alignment horizontal="center"/>
    </xf>
    <xf numFmtId="0" fontId="15" fillId="21" borderId="122" xfId="0" applyFont="1" applyFill="1" applyBorder="1" applyAlignment="1">
      <alignment horizontal="center"/>
    </xf>
    <xf numFmtId="9" fontId="15" fillId="21" borderId="124" xfId="2" applyFont="1" applyFill="1" applyBorder="1" applyAlignment="1">
      <alignment horizontal="center"/>
    </xf>
    <xf numFmtId="0" fontId="15" fillId="20" borderId="125" xfId="0" applyFont="1" applyFill="1" applyBorder="1" applyAlignment="1">
      <alignment horizontal="center"/>
    </xf>
    <xf numFmtId="0" fontId="52" fillId="0" borderId="0" xfId="0" applyFont="1" applyFill="1" applyAlignment="1">
      <alignment horizontal="left" vertical="center"/>
    </xf>
    <xf numFmtId="0" fontId="52" fillId="2" borderId="0" xfId="0" applyFont="1" applyFill="1" applyAlignment="1">
      <alignment horizontal="left" vertical="center"/>
    </xf>
    <xf numFmtId="0" fontId="52" fillId="2" borderId="0" xfId="0" applyFont="1" applyFill="1" applyAlignment="1">
      <alignment vertical="center"/>
    </xf>
    <xf numFmtId="0" fontId="52" fillId="0" borderId="0" xfId="0" applyFont="1" applyFill="1" applyAlignment="1">
      <alignment vertical="center"/>
    </xf>
    <xf numFmtId="0" fontId="52"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2" fillId="11" borderId="0" xfId="0" applyFont="1" applyFill="1" applyAlignment="1">
      <alignment horizontal="left" vertical="center"/>
    </xf>
    <xf numFmtId="0" fontId="52"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2"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8" fillId="11" borderId="0" xfId="0" applyFont="1" applyFill="1" applyAlignment="1">
      <alignment horizontal="left" vertical="center"/>
    </xf>
    <xf numFmtId="0" fontId="48"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15" fillId="18" borderId="94" xfId="0" applyFont="1" applyFill="1" applyBorder="1" applyAlignment="1" applyProtection="1">
      <alignment horizontal="center"/>
    </xf>
    <xf numFmtId="0" fontId="50" fillId="10" borderId="155" xfId="0" applyFont="1" applyFill="1" applyBorder="1" applyAlignment="1" applyProtection="1">
      <alignment horizontal="center"/>
    </xf>
    <xf numFmtId="0" fontId="50" fillId="10" borderId="156" xfId="0" applyFont="1" applyFill="1" applyBorder="1" applyAlignment="1" applyProtection="1">
      <alignment horizontal="center"/>
    </xf>
    <xf numFmtId="0" fontId="14" fillId="10" borderId="97" xfId="0" applyNumberFormat="1" applyFont="1" applyFill="1" applyBorder="1" applyAlignment="1">
      <alignment horizontal="center"/>
    </xf>
    <xf numFmtId="0" fontId="15" fillId="18" borderId="95" xfId="0" applyFont="1" applyFill="1" applyBorder="1" applyAlignment="1" applyProtection="1">
      <alignment horizontal="center"/>
    </xf>
    <xf numFmtId="165" fontId="3" fillId="21" borderId="146" xfId="0" applyNumberFormat="1" applyFont="1" applyFill="1" applyBorder="1" applyAlignment="1">
      <alignment horizontal="center"/>
    </xf>
    <xf numFmtId="165" fontId="3" fillId="21" borderId="147" xfId="0" applyNumberFormat="1" applyFont="1" applyFill="1" applyBorder="1" applyAlignment="1">
      <alignment horizontal="center"/>
    </xf>
    <xf numFmtId="0" fontId="9" fillId="0" borderId="0" xfId="5" applyFont="1" applyFill="1" applyBorder="1" applyAlignment="1">
      <alignment horizontal="left"/>
    </xf>
    <xf numFmtId="0" fontId="6" fillId="8" borderId="132" xfId="0" applyFont="1" applyFill="1" applyBorder="1" applyAlignment="1">
      <alignment horizontal="left"/>
    </xf>
    <xf numFmtId="0" fontId="9" fillId="5" borderId="0" xfId="5" applyFont="1" applyFill="1" applyBorder="1" applyAlignment="1">
      <alignment horizontal="left"/>
    </xf>
    <xf numFmtId="0" fontId="8" fillId="0" borderId="162" xfId="5" applyNumberFormat="1" applyFont="1" applyFill="1" applyBorder="1" applyAlignment="1">
      <alignment horizontal="center"/>
    </xf>
    <xf numFmtId="9" fontId="8" fillId="0" borderId="162" xfId="5" applyNumberFormat="1" applyFont="1" applyFill="1" applyBorder="1" applyAlignment="1">
      <alignment horizontal="center"/>
    </xf>
    <xf numFmtId="0" fontId="15" fillId="5" borderId="161" xfId="0" applyFont="1" applyFill="1" applyBorder="1" applyAlignment="1">
      <alignment horizontal="right"/>
    </xf>
    <xf numFmtId="0" fontId="15" fillId="5" borderId="163" xfId="0" applyFont="1" applyFill="1" applyBorder="1" applyAlignment="1">
      <alignment horizontal="right"/>
    </xf>
    <xf numFmtId="0" fontId="8" fillId="17" borderId="162" xfId="5" applyFont="1" applyFill="1" applyBorder="1" applyAlignment="1">
      <alignment horizontal="center"/>
    </xf>
    <xf numFmtId="0" fontId="8" fillId="17" borderId="162" xfId="5" applyNumberFormat="1" applyFont="1" applyFill="1" applyBorder="1" applyAlignment="1">
      <alignment horizontal="center"/>
    </xf>
    <xf numFmtId="0" fontId="15" fillId="3" borderId="161" xfId="5" applyFont="1" applyFill="1" applyBorder="1" applyAlignment="1">
      <alignment horizontal="right" shrinkToFit="1"/>
    </xf>
    <xf numFmtId="0" fontId="15" fillId="3" borderId="161" xfId="5" applyFont="1" applyFill="1" applyBorder="1" applyAlignment="1">
      <alignment horizontal="right"/>
    </xf>
    <xf numFmtId="0" fontId="15" fillId="3" borderId="163" xfId="5" applyFont="1" applyFill="1" applyBorder="1" applyAlignment="1">
      <alignment horizontal="right"/>
    </xf>
    <xf numFmtId="0" fontId="15" fillId="3" borderId="161" xfId="0" applyFont="1" applyFill="1" applyBorder="1" applyAlignment="1">
      <alignment horizontal="right"/>
    </xf>
    <xf numFmtId="165" fontId="14" fillId="4" borderId="167" xfId="0" applyNumberFormat="1" applyFont="1" applyFill="1" applyBorder="1" applyAlignment="1">
      <alignment horizontal="center"/>
    </xf>
    <xf numFmtId="165" fontId="14" fillId="4" borderId="172" xfId="0" applyNumberFormat="1" applyFont="1" applyFill="1" applyBorder="1" applyAlignment="1">
      <alignment horizontal="center"/>
    </xf>
    <xf numFmtId="3" fontId="8" fillId="17" borderId="162" xfId="5" applyNumberFormat="1" applyFont="1" applyFill="1" applyBorder="1" applyAlignment="1">
      <alignment horizontal="center"/>
    </xf>
    <xf numFmtId="14" fontId="8" fillId="17" borderId="162" xfId="5" applyNumberFormat="1" applyFont="1" applyFill="1" applyBorder="1" applyAlignment="1">
      <alignment horizontal="center"/>
    </xf>
    <xf numFmtId="9" fontId="8" fillId="17" borderId="162" xfId="2" applyNumberFormat="1" applyFont="1" applyFill="1" applyBorder="1" applyAlignment="1">
      <alignment horizontal="center"/>
    </xf>
    <xf numFmtId="0" fontId="54" fillId="4" borderId="0" xfId="0" applyFont="1" applyFill="1" applyBorder="1" applyAlignment="1">
      <alignment horizontal="left" vertical="center"/>
    </xf>
    <xf numFmtId="0" fontId="25" fillId="4" borderId="0" xfId="0" applyFont="1" applyFill="1" applyBorder="1" applyAlignment="1">
      <alignment horizontal="left" vertical="center"/>
    </xf>
    <xf numFmtId="0" fontId="55"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6" fillId="5" borderId="0" xfId="0" applyFont="1" applyFill="1" applyBorder="1" applyAlignment="1">
      <alignment horizontal="left" vertical="center"/>
    </xf>
    <xf numFmtId="0" fontId="58" fillId="5" borderId="39" xfId="0" applyFont="1" applyFill="1" applyBorder="1" applyAlignment="1">
      <alignment horizontal="center" vertical="center"/>
    </xf>
    <xf numFmtId="0" fontId="58" fillId="5" borderId="40" xfId="0" applyFont="1" applyFill="1" applyBorder="1" applyAlignment="1">
      <alignment horizontal="center" vertical="center"/>
    </xf>
    <xf numFmtId="0" fontId="59" fillId="0" borderId="0" xfId="0" applyFont="1" applyFill="1" applyAlignment="1">
      <alignment vertical="center"/>
    </xf>
    <xf numFmtId="0" fontId="53" fillId="4" borderId="0" xfId="0" applyFont="1" applyFill="1" applyBorder="1" applyAlignment="1">
      <alignment horizontal="left" vertical="center"/>
    </xf>
    <xf numFmtId="0" fontId="56" fillId="4" borderId="0" xfId="0" applyFont="1" applyFill="1" applyBorder="1" applyAlignment="1">
      <alignment horizontal="left" vertical="center"/>
    </xf>
    <xf numFmtId="0" fontId="11" fillId="21" borderId="142" xfId="0" applyFont="1" applyFill="1" applyBorder="1" applyAlignment="1">
      <alignment vertical="center"/>
    </xf>
    <xf numFmtId="165" fontId="5" fillId="21" borderId="143" xfId="4" applyNumberFormat="1" applyFont="1" applyFill="1" applyBorder="1" applyAlignment="1">
      <alignment horizontal="center" vertical="center"/>
    </xf>
    <xf numFmtId="9" fontId="5" fillId="21" borderId="144" xfId="2" applyFont="1" applyFill="1" applyBorder="1" applyAlignment="1">
      <alignment horizontal="center" vertical="center"/>
    </xf>
    <xf numFmtId="165" fontId="5" fillId="21" borderId="143" xfId="3" applyNumberFormat="1" applyFont="1" applyFill="1" applyBorder="1" applyAlignment="1">
      <alignment horizontal="center" vertical="center"/>
    </xf>
    <xf numFmtId="0" fontId="11" fillId="21" borderId="145" xfId="0" applyFont="1" applyFill="1" applyBorder="1" applyAlignment="1">
      <alignment horizontal="center" vertical="center"/>
    </xf>
    <xf numFmtId="0" fontId="11" fillId="21" borderId="146" xfId="0" applyFont="1" applyFill="1" applyBorder="1" applyAlignment="1">
      <alignment horizontal="center" vertical="center"/>
    </xf>
    <xf numFmtId="165" fontId="11" fillId="21" borderId="146" xfId="0" applyNumberFormat="1" applyFont="1" applyFill="1" applyBorder="1" applyAlignment="1">
      <alignment horizontal="center" vertical="center"/>
    </xf>
    <xf numFmtId="165" fontId="11" fillId="21" borderId="147" xfId="0" applyNumberFormat="1" applyFont="1" applyFill="1" applyBorder="1" applyAlignment="1">
      <alignment horizontal="center"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15" fillId="21" borderId="146" xfId="0" applyFont="1" applyFill="1" applyBorder="1" applyAlignment="1">
      <alignment horizontal="center" vertical="center"/>
    </xf>
    <xf numFmtId="0" fontId="14" fillId="0" borderId="147" xfId="0" applyFont="1" applyBorder="1" applyAlignment="1">
      <alignment vertical="center"/>
    </xf>
    <xf numFmtId="9" fontId="35" fillId="20" borderId="144" xfId="2" applyFont="1" applyFill="1" applyBorder="1" applyAlignment="1">
      <alignment horizontal="center" vertical="center"/>
    </xf>
    <xf numFmtId="0" fontId="60" fillId="4" borderId="173" xfId="0" applyFont="1" applyFill="1" applyBorder="1" applyAlignment="1">
      <alignment horizontal="center" vertical="center"/>
    </xf>
    <xf numFmtId="0" fontId="22" fillId="10" borderId="174" xfId="0" applyFont="1" applyFill="1" applyBorder="1" applyAlignment="1">
      <alignment horizontal="center" vertical="center"/>
    </xf>
    <xf numFmtId="0" fontId="22" fillId="20" borderId="151" xfId="0" applyFont="1" applyFill="1" applyBorder="1" applyAlignment="1">
      <alignment vertical="center"/>
    </xf>
    <xf numFmtId="0" fontId="22" fillId="20" borderId="101" xfId="0" applyFont="1" applyFill="1" applyBorder="1" applyAlignment="1">
      <alignment vertical="center"/>
    </xf>
    <xf numFmtId="0" fontId="22" fillId="21" borderId="15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1" borderId="99" xfId="0" applyNumberFormat="1" applyFont="1" applyFill="1" applyBorder="1" applyAlignment="1">
      <alignment horizontal="right"/>
    </xf>
    <xf numFmtId="165" fontId="15" fillId="21" borderId="100" xfId="0" applyNumberFormat="1" applyFont="1" applyFill="1" applyBorder="1"/>
    <xf numFmtId="165" fontId="15" fillId="20" borderId="103" xfId="0" applyNumberFormat="1" applyFont="1" applyFill="1" applyBorder="1" applyAlignment="1">
      <alignment horizontal="right"/>
    </xf>
    <xf numFmtId="165" fontId="15" fillId="21" borderId="107" xfId="0" applyNumberFormat="1" applyFont="1" applyFill="1" applyBorder="1" applyAlignment="1">
      <alignment horizontal="right"/>
    </xf>
    <xf numFmtId="165" fontId="15" fillId="21" borderId="108" xfId="0" applyNumberFormat="1" applyFont="1" applyFill="1" applyBorder="1"/>
    <xf numFmtId="165" fontId="15" fillId="20" borderId="109" xfId="0" applyNumberFormat="1" applyFont="1" applyFill="1" applyBorder="1" applyAlignment="1">
      <alignment horizontal="right"/>
    </xf>
    <xf numFmtId="165" fontId="15" fillId="18" borderId="157" xfId="0" applyNumberFormat="1" applyFont="1" applyFill="1" applyBorder="1"/>
    <xf numFmtId="165" fontId="14" fillId="18" borderId="94" xfId="0" applyNumberFormat="1" applyFont="1" applyFill="1" applyBorder="1"/>
    <xf numFmtId="165" fontId="15" fillId="18" borderId="180" xfId="0" applyNumberFormat="1" applyFont="1" applyFill="1" applyBorder="1" applyAlignment="1">
      <alignment horizontal="right"/>
    </xf>
    <xf numFmtId="165" fontId="15" fillId="18" borderId="177" xfId="0" applyNumberFormat="1" applyFont="1" applyFill="1" applyBorder="1"/>
    <xf numFmtId="165" fontId="15" fillId="10" borderId="157" xfId="0" applyNumberFormat="1" applyFont="1" applyFill="1" applyBorder="1"/>
    <xf numFmtId="165" fontId="14" fillId="10" borderId="94" xfId="0" applyNumberFormat="1" applyFont="1" applyFill="1" applyBorder="1"/>
    <xf numFmtId="165" fontId="15" fillId="10" borderId="180" xfId="0" applyNumberFormat="1" applyFont="1" applyFill="1" applyBorder="1" applyAlignment="1">
      <alignment horizontal="right"/>
    </xf>
    <xf numFmtId="165" fontId="15" fillId="10" borderId="177" xfId="0" applyNumberFormat="1" applyFont="1" applyFill="1" applyBorder="1"/>
    <xf numFmtId="165" fontId="14" fillId="10" borderId="97" xfId="0" applyNumberFormat="1" applyFont="1" applyFill="1" applyBorder="1"/>
    <xf numFmtId="165" fontId="14" fillId="20" borderId="181" xfId="0" applyNumberFormat="1" applyFont="1" applyFill="1" applyBorder="1"/>
    <xf numFmtId="0" fontId="15" fillId="20" borderId="107" xfId="0" applyFont="1" applyFill="1" applyBorder="1" applyAlignment="1">
      <alignment horizontal="center"/>
    </xf>
    <xf numFmtId="165" fontId="14" fillId="20" borderId="182" xfId="0" applyNumberFormat="1" applyFont="1" applyFill="1" applyBorder="1"/>
    <xf numFmtId="165" fontId="14" fillId="4" borderId="59" xfId="2" applyNumberFormat="1" applyFont="1" applyFill="1" applyBorder="1" applyAlignment="1">
      <alignment horizontal="right"/>
    </xf>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5" xfId="0" applyFont="1" applyFill="1" applyBorder="1" applyAlignment="1" applyProtection="1">
      <alignment horizontal="center"/>
    </xf>
    <xf numFmtId="0" fontId="15" fillId="17" borderId="156" xfId="0" applyFont="1" applyFill="1" applyBorder="1" applyAlignment="1" applyProtection="1">
      <alignment horizontal="center"/>
    </xf>
    <xf numFmtId="165" fontId="14" fillId="17" borderId="175" xfId="0" applyNumberFormat="1" applyFont="1" applyFill="1" applyBorder="1"/>
    <xf numFmtId="165" fontId="14" fillId="21" borderId="103" xfId="0" applyNumberFormat="1" applyFont="1" applyFill="1" applyBorder="1"/>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7" xfId="0" applyNumberFormat="1" applyFont="1" applyFill="1" applyBorder="1"/>
    <xf numFmtId="165" fontId="14" fillId="4" borderId="49"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165" fontId="14" fillId="17" borderId="49" xfId="0" applyNumberFormat="1" applyFont="1" applyFill="1" applyBorder="1"/>
    <xf numFmtId="9" fontId="14" fillId="21" borderId="102" xfId="2" applyFont="1" applyFill="1" applyBorder="1" applyAlignment="1">
      <alignment horizontal="center"/>
    </xf>
    <xf numFmtId="165" fontId="14" fillId="21" borderId="103" xfId="0" applyNumberFormat="1" applyFont="1" applyFill="1" applyBorder="1" applyAlignment="1">
      <alignment horizontal="center"/>
    </xf>
    <xf numFmtId="165" fontId="3" fillId="21" borderId="183" xfId="0" applyNumberFormat="1" applyFont="1" applyFill="1" applyBorder="1" applyAlignment="1">
      <alignment horizontal="center"/>
    </xf>
    <xf numFmtId="165" fontId="14" fillId="21" borderId="175" xfId="0" applyNumberFormat="1" applyFont="1" applyFill="1" applyBorder="1"/>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40" fillId="0" borderId="0" xfId="5" applyFont="1" applyProtection="1"/>
    <xf numFmtId="0" fontId="38" fillId="0" borderId="0" xfId="5" applyFont="1" applyFill="1" applyBorder="1" applyAlignment="1" applyProtection="1"/>
    <xf numFmtId="0" fontId="39" fillId="0" borderId="0" xfId="5" applyFont="1" applyFill="1" applyBorder="1" applyAlignment="1" applyProtection="1">
      <alignment horizontal="left"/>
    </xf>
    <xf numFmtId="0" fontId="63" fillId="0" borderId="0" xfId="5" applyFont="1" applyFill="1" applyBorder="1" applyAlignment="1" applyProtection="1">
      <alignment horizontal="left"/>
    </xf>
    <xf numFmtId="0" fontId="63" fillId="0" borderId="0" xfId="5" applyFont="1" applyFill="1" applyBorder="1" applyAlignment="1" applyProtection="1">
      <alignment horizontal="center"/>
    </xf>
    <xf numFmtId="0" fontId="21" fillId="0" borderId="0" xfId="5" applyAlignment="1" applyProtection="1">
      <alignment horizontal="center"/>
    </xf>
    <xf numFmtId="0" fontId="41" fillId="0" borderId="0" xfId="5" applyFont="1" applyProtection="1"/>
    <xf numFmtId="0" fontId="41"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2" fillId="24" borderId="49" xfId="5" applyFont="1" applyFill="1" applyBorder="1" applyAlignment="1" applyProtection="1">
      <alignment horizontal="center"/>
      <protection locked="0"/>
    </xf>
    <xf numFmtId="0" fontId="64" fillId="0" borderId="49" xfId="5" applyFont="1" applyFill="1" applyBorder="1" applyAlignment="1" applyProtection="1">
      <alignment horizontal="center"/>
    </xf>
    <xf numFmtId="0" fontId="39" fillId="0" borderId="0" xfId="5" applyFont="1" applyBorder="1" applyProtection="1"/>
    <xf numFmtId="0" fontId="39" fillId="0" borderId="49" xfId="5" applyFont="1" applyFill="1" applyBorder="1" applyAlignment="1" applyProtection="1">
      <alignment horizontal="center"/>
    </xf>
    <xf numFmtId="0" fontId="62" fillId="23" borderId="49" xfId="5" applyFont="1" applyFill="1" applyBorder="1" applyAlignment="1" applyProtection="1">
      <alignment horizontal="center"/>
      <protection locked="0"/>
    </xf>
    <xf numFmtId="0" fontId="39" fillId="0" borderId="49" xfId="5" applyFont="1" applyBorder="1" applyAlignment="1" applyProtection="1">
      <alignment horizontal="center"/>
    </xf>
    <xf numFmtId="0" fontId="65" fillId="0" borderId="0" xfId="5" applyFont="1" applyProtection="1"/>
    <xf numFmtId="9" fontId="39"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2" fillId="25" borderId="49" xfId="5" applyFont="1" applyFill="1" applyBorder="1" applyAlignment="1" applyProtection="1">
      <alignment horizontal="center"/>
      <protection locked="0"/>
    </xf>
    <xf numFmtId="0" fontId="38" fillId="0" borderId="0" xfId="5" applyFont="1" applyFill="1" applyBorder="1" applyProtection="1"/>
    <xf numFmtId="2" fontId="66" fillId="0" borderId="0" xfId="10" applyNumberFormat="1" applyFont="1" applyBorder="1" applyAlignment="1" applyProtection="1">
      <alignment horizontal="center" vertical="center"/>
    </xf>
    <xf numFmtId="0" fontId="39" fillId="0" borderId="0" xfId="5" applyFont="1" applyFill="1" applyBorder="1" applyProtection="1"/>
    <xf numFmtId="2" fontId="39" fillId="0" borderId="0" xfId="10" applyNumberFormat="1" applyFont="1" applyBorder="1" applyAlignment="1" applyProtection="1">
      <alignment horizontal="center" vertical="center"/>
    </xf>
    <xf numFmtId="0" fontId="39" fillId="0" borderId="0" xfId="5" applyFont="1" applyAlignment="1" applyProtection="1">
      <alignment horizontal="center"/>
    </xf>
    <xf numFmtId="2" fontId="39" fillId="0" borderId="185" xfId="10" applyNumberFormat="1" applyFont="1" applyBorder="1" applyAlignment="1" applyProtection="1">
      <alignment horizontal="center" vertical="center"/>
    </xf>
    <xf numFmtId="2" fontId="39" fillId="0" borderId="186" xfId="10" applyNumberFormat="1" applyFont="1" applyBorder="1" applyAlignment="1" applyProtection="1">
      <alignment horizontal="center" vertical="center"/>
    </xf>
    <xf numFmtId="0" fontId="67" fillId="0" borderId="0" xfId="5" applyFont="1" applyProtection="1"/>
    <xf numFmtId="0" fontId="41" fillId="0" borderId="0" xfId="5" applyFont="1" applyFill="1" applyBorder="1" applyProtection="1"/>
    <xf numFmtId="0" fontId="68" fillId="0" borderId="0" xfId="5" quotePrefix="1" applyFont="1" applyBorder="1" applyAlignment="1" applyProtection="1">
      <alignment horizontal="center"/>
    </xf>
    <xf numFmtId="2" fontId="41" fillId="0" borderId="63" xfId="10" applyNumberFormat="1" applyFont="1" applyBorder="1" applyAlignment="1" applyProtection="1">
      <alignment horizontal="center" vertical="center"/>
    </xf>
    <xf numFmtId="2" fontId="41" fillId="0" borderId="62" xfId="10" applyNumberFormat="1" applyFont="1" applyBorder="1" applyAlignment="1" applyProtection="1">
      <alignment horizontal="center" vertical="center"/>
    </xf>
    <xf numFmtId="0" fontId="39" fillId="0" borderId="50" xfId="5" applyFont="1" applyFill="1" applyBorder="1" applyProtection="1"/>
    <xf numFmtId="0" fontId="21" fillId="0" borderId="50" xfId="5" quotePrefix="1" applyBorder="1" applyAlignment="1" applyProtection="1">
      <alignment horizontal="center"/>
    </xf>
    <xf numFmtId="2" fontId="39" fillId="0" borderId="187" xfId="10" applyNumberFormat="1" applyFont="1" applyBorder="1" applyAlignment="1" applyProtection="1">
      <alignment horizontal="center" vertical="center"/>
    </xf>
    <xf numFmtId="2" fontId="39" fillId="0" borderId="188" xfId="10" applyNumberFormat="1" applyFont="1" applyBorder="1" applyAlignment="1" applyProtection="1">
      <alignment horizontal="center" vertical="center"/>
    </xf>
    <xf numFmtId="166" fontId="39" fillId="0" borderId="66" xfId="11" applyNumberFormat="1" applyFont="1" applyBorder="1" applyAlignment="1" applyProtection="1">
      <alignment horizontal="center" vertical="center"/>
    </xf>
    <xf numFmtId="166" fontId="39" fillId="0" borderId="189"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9" fillId="0" borderId="0" xfId="5" applyNumberFormat="1" applyFont="1"/>
    <xf numFmtId="9" fontId="21" fillId="0" borderId="190" xfId="11" applyFont="1" applyBorder="1"/>
    <xf numFmtId="9" fontId="0" fillId="0" borderId="191" xfId="11" applyFont="1" applyBorder="1"/>
    <xf numFmtId="43" fontId="69" fillId="0" borderId="80" xfId="10" applyFont="1" applyBorder="1"/>
    <xf numFmtId="9" fontId="21" fillId="0" borderId="1" xfId="11" applyFont="1" applyBorder="1"/>
    <xf numFmtId="9" fontId="0" fillId="0" borderId="0" xfId="11" applyFont="1" applyBorder="1"/>
    <xf numFmtId="43" fontId="69" fillId="0" borderId="81" xfId="10" applyFont="1" applyBorder="1"/>
    <xf numFmtId="9" fontId="21" fillId="0" borderId="192" xfId="11" applyFont="1" applyBorder="1"/>
    <xf numFmtId="9" fontId="0" fillId="0" borderId="50" xfId="11" applyFont="1" applyBorder="1"/>
    <xf numFmtId="43" fontId="69" fillId="0" borderId="79" xfId="10" applyFont="1" applyBorder="1"/>
    <xf numFmtId="0" fontId="21" fillId="27" borderId="193" xfId="5" applyFont="1" applyFill="1" applyBorder="1" applyAlignment="1">
      <alignment horizontal="center" wrapText="1"/>
    </xf>
    <xf numFmtId="0" fontId="21" fillId="27" borderId="194" xfId="5" applyFont="1" applyFill="1" applyBorder="1" applyAlignment="1">
      <alignment horizontal="center" wrapText="1"/>
    </xf>
    <xf numFmtId="9" fontId="21" fillId="0" borderId="193" xfId="5" applyNumberFormat="1" applyBorder="1"/>
    <xf numFmtId="0" fontId="21" fillId="0" borderId="195" xfId="5" applyBorder="1"/>
    <xf numFmtId="43" fontId="0" fillId="0" borderId="194" xfId="10" applyFont="1" applyBorder="1"/>
    <xf numFmtId="9" fontId="21" fillId="4" borderId="190" xfId="5" applyNumberFormat="1" applyFill="1" applyBorder="1" applyAlignment="1">
      <alignment horizontal="left"/>
    </xf>
    <xf numFmtId="4" fontId="69" fillId="4" borderId="196" xfId="5" applyNumberFormat="1" applyFont="1" applyFill="1" applyBorder="1" applyAlignment="1">
      <alignment horizontal="center" vertical="center"/>
    </xf>
    <xf numFmtId="9" fontId="21" fillId="4" borderId="1" xfId="5" applyNumberFormat="1" applyFill="1" applyBorder="1" applyAlignment="1">
      <alignment horizontal="left"/>
    </xf>
    <xf numFmtId="4" fontId="69" fillId="4" borderId="197"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92" xfId="5" applyNumberFormat="1" applyFont="1" applyFill="1" applyBorder="1" applyAlignment="1">
      <alignment horizontal="left"/>
    </xf>
    <xf numFmtId="4" fontId="69" fillId="4" borderId="198" xfId="5" applyNumberFormat="1" applyFont="1" applyFill="1" applyBorder="1" applyAlignment="1">
      <alignment horizontal="center" vertical="center"/>
    </xf>
    <xf numFmtId="3" fontId="62" fillId="24" borderId="49" xfId="5" applyNumberFormat="1" applyFont="1" applyFill="1" applyBorder="1" applyAlignment="1" applyProtection="1">
      <alignment horizontal="center"/>
      <protection locked="0"/>
    </xf>
    <xf numFmtId="3" fontId="39" fillId="17" borderId="19" xfId="5" applyNumberFormat="1" applyFont="1" applyFill="1" applyBorder="1" applyAlignment="1" applyProtection="1">
      <alignment horizontal="center"/>
      <protection locked="0"/>
    </xf>
    <xf numFmtId="0" fontId="39" fillId="17" borderId="15" xfId="5" applyFont="1" applyFill="1" applyBorder="1" applyAlignment="1" applyProtection="1">
      <alignment horizontal="center"/>
    </xf>
    <xf numFmtId="9" fontId="39" fillId="17" borderId="15" xfId="5" applyNumberFormat="1" applyFont="1" applyFill="1" applyBorder="1" applyAlignment="1" applyProtection="1">
      <alignment horizontal="center"/>
    </xf>
    <xf numFmtId="9" fontId="39" fillId="17" borderId="28" xfId="5" applyNumberFormat="1" applyFont="1" applyFill="1" applyBorder="1" applyAlignment="1" applyProtection="1">
      <alignment horizontal="center"/>
    </xf>
    <xf numFmtId="0" fontId="39" fillId="15" borderId="4" xfId="5" applyFont="1" applyFill="1" applyBorder="1" applyAlignment="1" applyProtection="1">
      <alignment horizontal="center"/>
    </xf>
    <xf numFmtId="2" fontId="39" fillId="17" borderId="4" xfId="10" applyNumberFormat="1" applyFont="1" applyFill="1" applyBorder="1" applyAlignment="1" applyProtection="1">
      <alignment horizontal="center" vertical="center"/>
    </xf>
    <xf numFmtId="2" fontId="41" fillId="17" borderId="4" xfId="10" applyNumberFormat="1" applyFont="1" applyFill="1" applyBorder="1" applyAlignment="1" applyProtection="1">
      <alignment horizontal="center" vertical="center"/>
    </xf>
    <xf numFmtId="166" fontId="42" fillId="17" borderId="4" xfId="11" applyNumberFormat="1" applyFont="1" applyFill="1" applyBorder="1" applyAlignment="1" applyProtection="1">
      <alignment horizontal="center" vertical="center"/>
    </xf>
    <xf numFmtId="0" fontId="0" fillId="5" borderId="199" xfId="0" applyFont="1" applyFill="1" applyBorder="1"/>
    <xf numFmtId="0" fontId="39" fillId="4" borderId="15" xfId="5" applyFont="1" applyFill="1" applyBorder="1" applyAlignment="1" applyProtection="1">
      <alignment horizontal="center"/>
      <protection locked="0"/>
    </xf>
    <xf numFmtId="0" fontId="71" fillId="5" borderId="0" xfId="0" applyFont="1" applyFill="1" applyBorder="1" applyAlignment="1">
      <alignment horizontal="left" vertical="center"/>
    </xf>
    <xf numFmtId="0" fontId="15" fillId="3" borderId="202" xfId="5" applyFont="1" applyFill="1" applyBorder="1" applyAlignment="1">
      <alignment horizontal="right"/>
    </xf>
    <xf numFmtId="0" fontId="15" fillId="3" borderId="204" xfId="5" applyFont="1" applyFill="1" applyBorder="1" applyAlignment="1">
      <alignment horizontal="right"/>
    </xf>
    <xf numFmtId="0" fontId="15" fillId="5" borderId="202" xfId="0" applyFont="1" applyFill="1" applyBorder="1" applyAlignment="1">
      <alignment horizontal="right"/>
    </xf>
    <xf numFmtId="0" fontId="72" fillId="19" borderId="0" xfId="0" applyFont="1" applyFill="1" applyBorder="1" applyAlignment="1">
      <alignment horizontal="center" vertical="center"/>
    </xf>
    <xf numFmtId="0" fontId="72" fillId="5" borderId="0" xfId="0" applyFont="1" applyFill="1" applyBorder="1" applyAlignment="1">
      <alignment horizontal="center" vertical="center"/>
    </xf>
    <xf numFmtId="0" fontId="72" fillId="5" borderId="0" xfId="0" applyFont="1" applyFill="1" applyBorder="1" applyAlignment="1">
      <alignment vertical="center"/>
    </xf>
    <xf numFmtId="0" fontId="73"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3" fillId="5" borderId="0" xfId="0" applyFont="1" applyFill="1" applyBorder="1"/>
    <xf numFmtId="0" fontId="15" fillId="10" borderId="115" xfId="0" applyFont="1" applyFill="1" applyBorder="1" applyAlignment="1" applyProtection="1">
      <alignment horizontal="right"/>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8" borderId="159" xfId="0" applyFont="1" applyFill="1" applyBorder="1" applyAlignment="1">
      <alignment horizontal="left"/>
    </xf>
    <xf numFmtId="0" fontId="6" fillId="8" borderId="160" xfId="0" applyFont="1" applyFill="1" applyBorder="1" applyAlignment="1">
      <alignment horizontal="left"/>
    </xf>
    <xf numFmtId="0" fontId="20" fillId="4" borderId="200" xfId="0" applyFont="1" applyFill="1" applyBorder="1" applyAlignment="1">
      <alignment horizontal="left" vertical="top"/>
    </xf>
    <xf numFmtId="0" fontId="20" fillId="4" borderId="169" xfId="0" applyFont="1" applyFill="1" applyBorder="1" applyAlignment="1">
      <alignment horizontal="left" vertical="top"/>
    </xf>
    <xf numFmtId="0" fontId="20" fillId="4" borderId="201" xfId="0" applyFont="1" applyFill="1" applyBorder="1" applyAlignment="1">
      <alignment horizontal="left" vertical="top"/>
    </xf>
    <xf numFmtId="0" fontId="20" fillId="4" borderId="171" xfId="0" applyFont="1" applyFill="1" applyBorder="1" applyAlignment="1">
      <alignment horizontal="left" vertical="top"/>
    </xf>
    <xf numFmtId="165" fontId="9" fillId="5" borderId="0" xfId="5" applyNumberFormat="1" applyFont="1" applyFill="1" applyBorder="1" applyAlignment="1">
      <alignment horizontal="left" vertical="center"/>
    </xf>
    <xf numFmtId="10" fontId="60" fillId="20" borderId="205" xfId="2" applyNumberFormat="1" applyFont="1" applyFill="1" applyBorder="1" applyAlignment="1">
      <alignment horizontal="center" vertical="center"/>
    </xf>
    <xf numFmtId="0" fontId="15" fillId="0" borderId="162" xfId="5" applyFont="1" applyFill="1" applyBorder="1" applyAlignment="1">
      <alignment horizontal="center"/>
    </xf>
    <xf numFmtId="0" fontId="8" fillId="4" borderId="164" xfId="0" applyFont="1" applyFill="1" applyBorder="1" applyAlignment="1">
      <alignment horizontal="center"/>
    </xf>
    <xf numFmtId="0" fontId="15" fillId="15" borderId="165" xfId="0" applyNumberFormat="1" applyFont="1" applyFill="1" applyBorder="1" applyAlignment="1">
      <alignment horizontal="center"/>
    </xf>
    <xf numFmtId="0" fontId="15" fillId="15" borderId="208" xfId="0" applyNumberFormat="1" applyFont="1" applyFill="1" applyBorder="1" applyAlignment="1">
      <alignment horizontal="center"/>
    </xf>
    <xf numFmtId="165" fontId="15" fillId="15" borderId="208" xfId="0" applyNumberFormat="1" applyFont="1" applyFill="1" applyBorder="1" applyAlignment="1">
      <alignment horizontal="center"/>
    </xf>
    <xf numFmtId="165" fontId="15" fillId="15" borderId="166" xfId="0" applyNumberFormat="1" applyFont="1" applyFill="1" applyBorder="1" applyAlignment="1">
      <alignment horizontal="center"/>
    </xf>
    <xf numFmtId="0" fontId="15" fillId="15" borderId="161" xfId="0" applyFont="1" applyFill="1" applyBorder="1" applyAlignment="1" applyProtection="1">
      <alignment horizontal="right"/>
    </xf>
    <xf numFmtId="0" fontId="15" fillId="15" borderId="163" xfId="0" applyFont="1" applyFill="1" applyBorder="1" applyAlignment="1" applyProtection="1">
      <alignment horizontal="right"/>
    </xf>
    <xf numFmtId="0" fontId="14" fillId="5" borderId="0" xfId="0" applyNumberFormat="1" applyFont="1" applyFill="1" applyBorder="1" applyAlignment="1">
      <alignment horizontal="center"/>
    </xf>
    <xf numFmtId="165" fontId="14" fillId="5" borderId="0" xfId="0" applyNumberFormat="1" applyFont="1" applyFill="1" applyBorder="1" applyAlignment="1">
      <alignment horizontal="center"/>
    </xf>
    <xf numFmtId="0" fontId="6" fillId="8" borderId="201" xfId="5" applyFont="1" applyFill="1" applyBorder="1" applyAlignment="1">
      <alignment horizontal="left" vertical="center"/>
    </xf>
    <xf numFmtId="0" fontId="6" fillId="8" borderId="170" xfId="5" applyFont="1" applyFill="1" applyBorder="1" applyAlignment="1">
      <alignment horizontal="left" vertical="center"/>
    </xf>
    <xf numFmtId="0" fontId="6" fillId="8" borderId="171" xfId="5" applyFont="1" applyFill="1" applyBorder="1" applyAlignment="1">
      <alignment horizontal="left" vertical="center"/>
    </xf>
    <xf numFmtId="0" fontId="14" fillId="10" borderId="49" xfId="0" applyNumberFormat="1" applyFont="1" applyFill="1" applyBorder="1" applyAlignment="1">
      <alignment horizontal="center"/>
    </xf>
    <xf numFmtId="0" fontId="74" fillId="8" borderId="131" xfId="0" applyFont="1" applyFill="1" applyBorder="1" applyAlignment="1">
      <alignment horizontal="left"/>
    </xf>
    <xf numFmtId="0" fontId="50" fillId="10" borderId="118" xfId="0" applyFont="1" applyFill="1" applyBorder="1" applyAlignment="1" applyProtection="1">
      <alignment horizontal="right"/>
    </xf>
    <xf numFmtId="0" fontId="50" fillId="10" borderId="119" xfId="0" applyFont="1" applyFill="1" applyBorder="1" applyAlignment="1" applyProtection="1">
      <alignment horizontal="right"/>
    </xf>
    <xf numFmtId="0" fontId="15" fillId="17" borderId="212"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0" borderId="128" xfId="0" applyFont="1" applyFill="1" applyBorder="1" applyAlignment="1">
      <alignment horizontal="center"/>
    </xf>
    <xf numFmtId="9" fontId="15" fillId="20" borderId="130" xfId="2" applyFont="1" applyFill="1" applyBorder="1" applyAlignment="1">
      <alignment horizontal="center"/>
    </xf>
    <xf numFmtId="0" fontId="15" fillId="20" borderId="213" xfId="0"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14" xfId="0" applyNumberFormat="1" applyFont="1" applyFill="1" applyBorder="1" applyAlignment="1">
      <alignment horizontal="center"/>
    </xf>
    <xf numFmtId="9" fontId="14" fillId="21" borderId="215" xfId="2" applyFont="1" applyFill="1" applyBorder="1" applyAlignment="1">
      <alignment horizontal="center"/>
    </xf>
    <xf numFmtId="0" fontId="15" fillId="10" borderId="216" xfId="0" applyFont="1" applyFill="1" applyBorder="1" applyAlignment="1" applyProtection="1">
      <alignment horizontal="right"/>
    </xf>
    <xf numFmtId="0" fontId="14" fillId="10" borderId="80" xfId="0" applyNumberFormat="1" applyFont="1" applyFill="1" applyBorder="1" applyAlignment="1">
      <alignment horizontal="center"/>
    </xf>
    <xf numFmtId="165" fontId="14" fillId="17" borderId="80" xfId="0" applyNumberFormat="1" applyFont="1" applyFill="1" applyBorder="1"/>
    <xf numFmtId="165" fontId="14" fillId="17" borderId="217" xfId="0" applyNumberFormat="1" applyFont="1" applyFill="1" applyBorder="1"/>
    <xf numFmtId="165" fontId="14" fillId="21" borderId="177" xfId="0" applyNumberFormat="1" applyFont="1" applyFill="1" applyBorder="1"/>
    <xf numFmtId="0" fontId="50" fillId="10" borderId="216" xfId="0" applyFont="1" applyFill="1" applyBorder="1" applyAlignment="1" applyProtection="1">
      <alignment horizontal="right"/>
    </xf>
    <xf numFmtId="0" fontId="50" fillId="10" borderId="116" xfId="0" applyFont="1" applyFill="1" applyBorder="1" applyAlignment="1" applyProtection="1">
      <alignment horizontal="right"/>
    </xf>
    <xf numFmtId="165" fontId="14" fillId="21" borderId="218" xfId="0" applyNumberFormat="1" applyFont="1" applyFill="1" applyBorder="1" applyAlignment="1">
      <alignment horizontal="center"/>
    </xf>
    <xf numFmtId="9" fontId="14" fillId="21" borderId="219" xfId="2" applyFont="1" applyFill="1" applyBorder="1" applyAlignment="1">
      <alignment horizontal="center"/>
    </xf>
    <xf numFmtId="0" fontId="50" fillId="10" borderId="139" xfId="0" applyFont="1" applyFill="1" applyBorder="1" applyAlignment="1" applyProtection="1">
      <alignment horizontal="right"/>
    </xf>
    <xf numFmtId="0" fontId="50" fillId="10" borderId="140" xfId="0" applyFont="1" applyFill="1" applyBorder="1" applyAlignment="1" applyProtection="1">
      <alignment horizontal="right"/>
    </xf>
    <xf numFmtId="0" fontId="15" fillId="17" borderId="220" xfId="0" applyFont="1" applyFill="1" applyBorder="1" applyAlignment="1" applyProtection="1">
      <alignment horizontal="center"/>
    </xf>
    <xf numFmtId="165" fontId="15" fillId="17" borderId="140" xfId="0" applyNumberFormat="1" applyFont="1" applyFill="1" applyBorder="1"/>
    <xf numFmtId="0" fontId="15" fillId="21" borderId="220" xfId="0" applyFont="1" applyFill="1" applyBorder="1" applyAlignment="1" applyProtection="1">
      <alignment horizontal="center"/>
    </xf>
    <xf numFmtId="165" fontId="15" fillId="21" borderId="140" xfId="0" applyNumberFormat="1" applyFont="1" applyFill="1" applyBorder="1"/>
    <xf numFmtId="165" fontId="14" fillId="21" borderId="213" xfId="0" applyNumberFormat="1" applyFont="1" applyFill="1" applyBorder="1" applyAlignment="1">
      <alignment horizontal="center"/>
    </xf>
    <xf numFmtId="9" fontId="14" fillId="21" borderId="130" xfId="2" applyFont="1" applyFill="1" applyBorder="1" applyAlignment="1">
      <alignment horizontal="center"/>
    </xf>
    <xf numFmtId="0" fontId="15" fillId="17" borderId="96" xfId="0" applyFont="1" applyFill="1" applyBorder="1" applyAlignment="1" applyProtection="1">
      <alignment horizontal="center"/>
    </xf>
    <xf numFmtId="165" fontId="14" fillId="21" borderId="109" xfId="0" applyNumberFormat="1" applyFont="1" applyFill="1" applyBorder="1"/>
    <xf numFmtId="0" fontId="15" fillId="17" borderId="118" xfId="0" applyFont="1" applyFill="1" applyBorder="1" applyAlignment="1" applyProtection="1">
      <alignment horizontal="center"/>
    </xf>
    <xf numFmtId="0" fontId="15" fillId="21" borderId="212" xfId="0" applyFont="1" applyFill="1" applyBorder="1" applyAlignment="1" applyProtection="1">
      <alignment horizontal="center"/>
    </xf>
    <xf numFmtId="165" fontId="14" fillId="21" borderId="214" xfId="0" applyNumberFormat="1" applyFont="1" applyFill="1" applyBorder="1"/>
    <xf numFmtId="0" fontId="14" fillId="18" borderId="152" xfId="0" applyFont="1" applyFill="1" applyBorder="1" applyAlignment="1">
      <alignment horizontal="center" wrapText="1"/>
    </xf>
    <xf numFmtId="9" fontId="0" fillId="0" borderId="0" xfId="2" applyFont="1" applyFill="1"/>
    <xf numFmtId="9" fontId="14" fillId="10" borderId="114" xfId="2" applyFont="1" applyFill="1" applyBorder="1" applyAlignment="1">
      <alignment horizontal="center"/>
    </xf>
    <xf numFmtId="0" fontId="15" fillId="18" borderId="113" xfId="0" applyFont="1" applyFill="1" applyBorder="1" applyAlignment="1">
      <alignment wrapText="1"/>
    </xf>
    <xf numFmtId="0" fontId="50" fillId="20" borderId="0" xfId="0" applyFont="1" applyFill="1" applyBorder="1" applyAlignment="1">
      <alignment horizontal="center" vertical="center"/>
    </xf>
    <xf numFmtId="0" fontId="50" fillId="20" borderId="224" xfId="0" applyFont="1" applyFill="1" applyBorder="1" applyAlignment="1">
      <alignment horizontal="center" vertical="center"/>
    </xf>
    <xf numFmtId="0" fontId="50" fillId="20" borderId="179" xfId="0" applyFont="1" applyFill="1" applyBorder="1" applyAlignment="1">
      <alignment horizontal="center" vertical="center"/>
    </xf>
    <xf numFmtId="0" fontId="50" fillId="28" borderId="49" xfId="0" applyFont="1" applyFill="1" applyBorder="1" applyAlignment="1">
      <alignment horizontal="right" vertical="center"/>
    </xf>
    <xf numFmtId="0" fontId="76" fillId="20" borderId="0" xfId="0" applyFont="1" applyFill="1" applyBorder="1" applyAlignment="1">
      <alignment horizontal="right" vertical="center"/>
    </xf>
    <xf numFmtId="0" fontId="15" fillId="20" borderId="0" xfId="0" applyFont="1" applyFill="1" applyBorder="1" applyAlignment="1">
      <alignment horizontal="left"/>
    </xf>
    <xf numFmtId="0" fontId="50" fillId="20" borderId="148" xfId="0" applyFont="1" applyFill="1" applyBorder="1" applyAlignment="1">
      <alignment horizontal="center" vertical="center"/>
    </xf>
    <xf numFmtId="0" fontId="50" fillId="20" borderId="141" xfId="0" applyFont="1" applyFill="1" applyBorder="1" applyAlignment="1">
      <alignment horizontal="center" vertical="center"/>
    </xf>
    <xf numFmtId="0" fontId="50" fillId="10" borderId="49" xfId="0" applyFont="1" applyFill="1" applyBorder="1" applyAlignment="1">
      <alignment horizontal="right" vertical="center"/>
    </xf>
    <xf numFmtId="9" fontId="50" fillId="4" borderId="49" xfId="2" applyFont="1" applyFill="1" applyBorder="1" applyAlignment="1">
      <alignment horizontal="center" vertical="center"/>
    </xf>
    <xf numFmtId="9" fontId="0" fillId="0" borderId="0" xfId="2" applyFont="1"/>
    <xf numFmtId="9" fontId="60" fillId="21" borderId="225" xfId="2" applyFont="1" applyFill="1" applyBorder="1" applyAlignment="1">
      <alignment horizontal="center" vertical="center"/>
    </xf>
    <xf numFmtId="49" fontId="0" fillId="0" borderId="0" xfId="0" applyNumberFormat="1"/>
    <xf numFmtId="0" fontId="3" fillId="3" borderId="13" xfId="0" applyFont="1" applyFill="1" applyBorder="1" applyAlignment="1">
      <alignment horizontal="left"/>
    </xf>
    <xf numFmtId="0" fontId="76" fillId="20" borderId="120" xfId="0" applyFont="1" applyFill="1" applyBorder="1" applyAlignment="1">
      <alignment horizontal="center" vertical="center"/>
    </xf>
    <xf numFmtId="0" fontId="76" fillId="20" borderId="223" xfId="0" applyFont="1" applyFill="1" applyBorder="1" applyAlignment="1">
      <alignment horizontal="center" vertical="center"/>
    </xf>
    <xf numFmtId="0" fontId="76" fillId="20" borderId="121" xfId="0" applyFont="1" applyFill="1" applyBorder="1" applyAlignment="1">
      <alignment horizontal="center" vertical="center"/>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27"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14" fillId="5" borderId="228" xfId="0" applyFont="1" applyFill="1" applyBorder="1" applyAlignment="1">
      <alignment horizontal="center" vertical="center"/>
    </xf>
    <xf numFmtId="0" fontId="0" fillId="5" borderId="228" xfId="0" applyFill="1" applyBorder="1" applyAlignment="1">
      <alignment vertical="center"/>
    </xf>
    <xf numFmtId="3" fontId="77" fillId="20" borderId="148" xfId="0" applyNumberFormat="1" applyFont="1" applyFill="1" applyBorder="1" applyAlignment="1">
      <alignment horizontal="center" vertical="center"/>
    </xf>
    <xf numFmtId="3" fontId="9" fillId="5" borderId="0" xfId="5" applyNumberFormat="1" applyFont="1" applyFill="1" applyBorder="1" applyAlignment="1">
      <alignment horizontal="left"/>
    </xf>
    <xf numFmtId="3" fontId="0" fillId="0" borderId="0" xfId="0" applyNumberFormat="1" applyFont="1" applyFill="1" applyAlignment="1">
      <alignment vertical="center"/>
    </xf>
    <xf numFmtId="0" fontId="76" fillId="20" borderId="223" xfId="0" applyFont="1" applyFill="1" applyBorder="1" applyAlignment="1">
      <alignment horizontal="right" vertical="center"/>
    </xf>
    <xf numFmtId="0" fontId="14" fillId="4" borderId="149" xfId="0" applyFont="1" applyFill="1" applyBorder="1" applyAlignment="1">
      <alignment horizontal="center" vertical="center"/>
    </xf>
    <xf numFmtId="0" fontId="14" fillId="4" borderId="232" xfId="0" applyFont="1" applyFill="1" applyBorder="1" applyAlignment="1">
      <alignment horizontal="center" vertical="center"/>
    </xf>
    <xf numFmtId="10" fontId="76" fillId="0" borderId="150" xfId="2" applyNumberFormat="1" applyFont="1" applyBorder="1" applyAlignment="1">
      <alignment horizontal="center" vertical="center"/>
    </xf>
    <xf numFmtId="10" fontId="60" fillId="5" borderId="0" xfId="2" applyNumberFormat="1" applyFont="1" applyFill="1" applyBorder="1" applyAlignment="1">
      <alignment horizontal="center" vertical="center"/>
    </xf>
    <xf numFmtId="0" fontId="78" fillId="5" borderId="0" xfId="0" applyFont="1" applyFill="1" applyBorder="1" applyAlignment="1">
      <alignment horizontal="center" vertical="center"/>
    </xf>
    <xf numFmtId="9" fontId="50" fillId="4" borderId="80" xfId="2" applyFont="1" applyFill="1" applyBorder="1" applyAlignment="1">
      <alignment horizontal="center" vertical="center"/>
    </xf>
    <xf numFmtId="0" fontId="9" fillId="7" borderId="30" xfId="0" applyFont="1" applyFill="1" applyBorder="1" applyAlignment="1">
      <alignment horizontal="center"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0" fontId="0" fillId="7" borderId="162" xfId="0" applyFont="1" applyFill="1" applyBorder="1" applyAlignment="1">
      <alignment horizontal="center"/>
    </xf>
    <xf numFmtId="9" fontId="0" fillId="29" borderId="4" xfId="0" applyNumberFormat="1" applyFont="1" applyFill="1" applyBorder="1" applyAlignment="1">
      <alignment horizontal="center"/>
    </xf>
    <xf numFmtId="3" fontId="39" fillId="17" borderId="15" xfId="5" applyNumberFormat="1" applyFont="1" applyFill="1" applyBorder="1" applyAlignment="1" applyProtection="1">
      <alignment horizontal="center"/>
      <protection locked="0"/>
    </xf>
    <xf numFmtId="0" fontId="15" fillId="3" borderId="204" xfId="5" applyFont="1" applyFill="1" applyBorder="1" applyAlignment="1">
      <alignment horizontal="right" shrinkToFit="1"/>
    </xf>
    <xf numFmtId="0" fontId="8" fillId="0" borderId="206" xfId="5" applyFont="1" applyFill="1" applyBorder="1" applyAlignment="1">
      <alignment horizontal="center"/>
    </xf>
    <xf numFmtId="0" fontId="15" fillId="3" borderId="202" xfId="5" applyFont="1" applyFill="1" applyBorder="1" applyAlignment="1">
      <alignment horizontal="right" shrinkToFit="1"/>
    </xf>
    <xf numFmtId="1" fontId="8" fillId="0" borderId="203" xfId="5" applyNumberFormat="1" applyFont="1" applyFill="1" applyBorder="1" applyAlignment="1">
      <alignment horizontal="center"/>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0" fillId="7" borderId="162" xfId="0" applyFont="1" applyFill="1" applyBorder="1" applyAlignment="1">
      <alignment horizontal="center"/>
    </xf>
    <xf numFmtId="9" fontId="0" fillId="29" borderId="167" xfId="0" applyNumberFormat="1" applyFont="1" applyFill="1" applyBorder="1" applyAlignment="1">
      <alignment horizontal="center"/>
    </xf>
    <xf numFmtId="0" fontId="15" fillId="3" borderId="204" xfId="0" applyFont="1" applyFill="1" applyBorder="1" applyAlignment="1">
      <alignment horizontal="right"/>
    </xf>
    <xf numFmtId="0" fontId="15" fillId="5" borderId="204" xfId="0" applyFont="1" applyFill="1" applyBorder="1" applyAlignment="1">
      <alignment horizontal="right"/>
    </xf>
    <xf numFmtId="0" fontId="0" fillId="7" borderId="7" xfId="0" applyFont="1" applyFill="1" applyBorder="1" applyAlignment="1">
      <alignment horizontal="center"/>
    </xf>
    <xf numFmtId="0" fontId="0" fillId="7" borderId="206" xfId="0" applyFont="1" applyFill="1" applyBorder="1" applyAlignment="1">
      <alignment horizontal="center"/>
    </xf>
    <xf numFmtId="0" fontId="3" fillId="3" borderId="235" xfId="0" applyFont="1" applyFill="1" applyBorder="1" applyAlignment="1">
      <alignment horizontal="center" vertical="center"/>
    </xf>
    <xf numFmtId="0" fontId="3" fillId="3" borderId="236" xfId="0" applyFont="1" applyFill="1" applyBorder="1" applyAlignment="1">
      <alignment horizontal="center" vertical="center"/>
    </xf>
    <xf numFmtId="9" fontId="0" fillId="7" borderId="167" xfId="0" applyNumberFormat="1" applyFont="1" applyFill="1" applyBorder="1" applyAlignment="1">
      <alignment horizontal="center"/>
    </xf>
    <xf numFmtId="9" fontId="0" fillId="7" borderId="234" xfId="0" applyNumberFormat="1" applyFont="1" applyFill="1" applyBorder="1" applyAlignment="1">
      <alignment horizontal="center"/>
    </xf>
    <xf numFmtId="9" fontId="0" fillId="29" borderId="234" xfId="0" applyNumberFormat="1" applyFont="1" applyFill="1" applyBorder="1" applyAlignment="1">
      <alignment horizontal="center"/>
    </xf>
    <xf numFmtId="9" fontId="0" fillId="7" borderId="7" xfId="0" applyNumberFormat="1" applyFont="1" applyFill="1" applyBorder="1" applyAlignment="1">
      <alignment horizontal="center"/>
    </xf>
    <xf numFmtId="9" fontId="0" fillId="29" borderId="7"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162" xfId="0" applyNumberFormat="1" applyFont="1" applyFill="1" applyBorder="1" applyAlignment="1">
      <alignment horizontal="center"/>
    </xf>
    <xf numFmtId="9" fontId="0" fillId="29" borderId="89" xfId="0" applyNumberFormat="1" applyFont="1" applyFill="1" applyBorder="1" applyAlignment="1">
      <alignment horizontal="center"/>
    </xf>
    <xf numFmtId="9" fontId="0" fillId="29" borderId="240" xfId="0" applyNumberFormat="1" applyFont="1" applyFill="1" applyBorder="1" applyAlignment="1">
      <alignment horizontal="center"/>
    </xf>
    <xf numFmtId="0" fontId="15" fillId="5" borderId="241" xfId="0" applyFont="1" applyFill="1" applyBorder="1" applyAlignment="1">
      <alignment horizontal="right"/>
    </xf>
    <xf numFmtId="9" fontId="0" fillId="7" borderId="18" xfId="0" applyNumberFormat="1" applyFont="1" applyFill="1" applyBorder="1" applyAlignment="1">
      <alignment horizontal="center"/>
    </xf>
    <xf numFmtId="9" fontId="0" fillId="7" borderId="242" xfId="0" applyNumberFormat="1" applyFont="1" applyFill="1" applyBorder="1" applyAlignment="1">
      <alignment horizontal="center"/>
    </xf>
    <xf numFmtId="0" fontId="15" fillId="3" borderId="241" xfId="0" applyFont="1" applyFill="1" applyBorder="1" applyAlignment="1">
      <alignment horizontal="right"/>
    </xf>
    <xf numFmtId="9" fontId="0" fillId="29" borderId="18" xfId="0" applyNumberFormat="1" applyFont="1" applyFill="1" applyBorder="1" applyAlignment="1">
      <alignment horizontal="center"/>
    </xf>
    <xf numFmtId="9" fontId="0" fillId="29" borderId="242"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7" borderId="244" xfId="0" applyNumberFormat="1" applyFont="1" applyFill="1" applyBorder="1" applyAlignment="1">
      <alignment horizontal="center"/>
    </xf>
    <xf numFmtId="6" fontId="0" fillId="29" borderId="18" xfId="0" applyNumberFormat="1" applyFont="1" applyFill="1" applyBorder="1" applyAlignment="1">
      <alignment horizontal="center"/>
    </xf>
    <xf numFmtId="6" fontId="0" fillId="29" borderId="244" xfId="0" applyNumberFormat="1" applyFont="1" applyFill="1" applyBorder="1" applyAlignment="1">
      <alignment horizontal="center"/>
    </xf>
    <xf numFmtId="0" fontId="15" fillId="5" borderId="245" xfId="0" applyFont="1" applyFill="1" applyBorder="1" applyAlignment="1">
      <alignment horizontal="right"/>
    </xf>
    <xf numFmtId="0" fontId="15" fillId="3" borderId="245" xfId="0" applyFont="1" applyFill="1" applyBorder="1" applyAlignment="1">
      <alignment horizontal="right"/>
    </xf>
    <xf numFmtId="0" fontId="15" fillId="5" borderId="87" xfId="0" applyFont="1" applyFill="1" applyBorder="1" applyAlignment="1">
      <alignment horizontal="right"/>
    </xf>
    <xf numFmtId="0" fontId="15" fillId="5" borderId="248" xfId="0" applyFont="1" applyFill="1" applyBorder="1" applyAlignment="1">
      <alignment horizontal="right"/>
    </xf>
    <xf numFmtId="0" fontId="15" fillId="3" borderId="247" xfId="0" applyFont="1" applyFill="1" applyBorder="1" applyAlignment="1">
      <alignment horizontal="right"/>
    </xf>
    <xf numFmtId="0" fontId="81" fillId="4" borderId="44" xfId="0" applyFont="1" applyFill="1" applyBorder="1" applyAlignment="1">
      <alignment horizontal="left" vertical="top"/>
    </xf>
    <xf numFmtId="0" fontId="81" fillId="4" borderId="23" xfId="0" applyFont="1" applyFill="1" applyBorder="1" applyAlignment="1">
      <alignment horizontal="right" vertical="top" indent="1"/>
    </xf>
    <xf numFmtId="0" fontId="0" fillId="0" borderId="0" xfId="0" applyAlignment="1">
      <alignment vertical="center"/>
    </xf>
    <xf numFmtId="0" fontId="35" fillId="0" borderId="49" xfId="0" applyFont="1" applyBorder="1"/>
    <xf numFmtId="0" fontId="59"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4" fillId="30" borderId="70" xfId="0" applyFont="1" applyFill="1" applyBorder="1" applyAlignment="1">
      <alignment horizontal="center" vertical="center" wrapText="1"/>
    </xf>
    <xf numFmtId="0" fontId="85" fillId="13" borderId="59" xfId="0" applyFont="1" applyFill="1" applyBorder="1" applyAlignment="1">
      <alignment horizontal="center" vertical="center"/>
    </xf>
    <xf numFmtId="0" fontId="85" fillId="13" borderId="70" xfId="0" applyFont="1" applyFill="1" applyBorder="1" applyAlignment="1">
      <alignment horizontal="center" vertical="center"/>
    </xf>
    <xf numFmtId="9" fontId="85" fillId="13" borderId="70" xfId="2" applyFont="1" applyFill="1" applyBorder="1" applyAlignment="1">
      <alignment horizontal="center" vertical="center"/>
    </xf>
    <xf numFmtId="0" fontId="86" fillId="22" borderId="79" xfId="0" applyFont="1" applyFill="1" applyBorder="1" applyAlignment="1">
      <alignment vertical="center"/>
    </xf>
    <xf numFmtId="43" fontId="86" fillId="22" borderId="79" xfId="1" applyFont="1" applyFill="1" applyBorder="1" applyAlignment="1">
      <alignment horizontal="center" vertical="center"/>
    </xf>
    <xf numFmtId="9" fontId="86" fillId="22" borderId="79" xfId="0" applyNumberFormat="1" applyFont="1" applyFill="1" applyBorder="1" applyAlignment="1">
      <alignment horizontal="center" vertical="center"/>
    </xf>
    <xf numFmtId="0" fontId="85" fillId="0" borderId="79" xfId="0" applyFont="1" applyBorder="1" applyAlignment="1">
      <alignment vertical="center"/>
    </xf>
    <xf numFmtId="43" fontId="85" fillId="0" borderId="79" xfId="1" applyFont="1" applyBorder="1" applyAlignment="1">
      <alignment horizontal="center" vertical="center"/>
    </xf>
    <xf numFmtId="9" fontId="85" fillId="31" borderId="79" xfId="0" applyNumberFormat="1" applyFont="1" applyFill="1" applyBorder="1" applyAlignment="1">
      <alignment horizontal="center" vertical="center"/>
    </xf>
    <xf numFmtId="0" fontId="85" fillId="0" borderId="49" xfId="0" applyFont="1" applyBorder="1" applyAlignment="1">
      <alignment vertical="center"/>
    </xf>
    <xf numFmtId="43" fontId="85" fillId="0" borderId="49" xfId="1" applyFont="1" applyBorder="1" applyAlignment="1">
      <alignment horizontal="center" vertical="center"/>
    </xf>
    <xf numFmtId="0" fontId="85" fillId="30" borderId="250" xfId="0" applyFont="1" applyFill="1" applyBorder="1" applyAlignment="1">
      <alignment vertical="center"/>
    </xf>
    <xf numFmtId="43" fontId="85" fillId="30" borderId="49" xfId="1" applyFont="1" applyFill="1" applyBorder="1" applyAlignment="1">
      <alignment horizontal="center" vertical="center"/>
    </xf>
    <xf numFmtId="9" fontId="85" fillId="30" borderId="49" xfId="0" applyNumberFormat="1" applyFont="1" applyFill="1" applyBorder="1" applyAlignment="1">
      <alignment horizontal="center" vertical="center"/>
    </xf>
    <xf numFmtId="2" fontId="85" fillId="30" borderId="49" xfId="0" applyNumberFormat="1" applyFont="1" applyFill="1" applyBorder="1" applyAlignment="1">
      <alignment horizontal="center" vertical="center"/>
    </xf>
    <xf numFmtId="2" fontId="85" fillId="30" borderId="251" xfId="0" applyNumberFormat="1" applyFont="1" applyFill="1" applyBorder="1" applyAlignment="1">
      <alignment horizontal="center" vertical="center"/>
    </xf>
    <xf numFmtId="0" fontId="85" fillId="4" borderId="252" xfId="0" applyFont="1" applyFill="1" applyBorder="1" applyAlignment="1">
      <alignment vertical="center"/>
    </xf>
    <xf numFmtId="43" fontId="85" fillId="4" borderId="80" xfId="1" applyFont="1" applyFill="1" applyBorder="1" applyAlignment="1">
      <alignment horizontal="center" vertical="center"/>
    </xf>
    <xf numFmtId="0" fontId="85" fillId="2" borderId="250" xfId="0" applyFont="1" applyFill="1" applyBorder="1" applyAlignment="1">
      <alignment vertical="center"/>
    </xf>
    <xf numFmtId="43" fontId="85" fillId="4" borderId="49" xfId="1" applyFont="1" applyFill="1" applyBorder="1" applyAlignment="1">
      <alignment horizontal="center" vertical="center"/>
    </xf>
    <xf numFmtId="9" fontId="85" fillId="0" borderId="49" xfId="0" applyNumberFormat="1" applyFont="1" applyFill="1" applyBorder="1" applyAlignment="1">
      <alignment horizontal="center" vertical="center"/>
    </xf>
    <xf numFmtId="0" fontId="85" fillId="32" borderId="49" xfId="0" applyFont="1" applyFill="1" applyBorder="1" applyAlignment="1">
      <alignment horizontal="center" vertical="center"/>
    </xf>
    <xf numFmtId="0" fontId="85" fillId="32" borderId="251" xfId="0" applyFont="1" applyFill="1" applyBorder="1" applyAlignment="1">
      <alignment horizontal="center" vertical="center"/>
    </xf>
    <xf numFmtId="0" fontId="85" fillId="2" borderId="252" xfId="0" applyFont="1" applyFill="1" applyBorder="1" applyAlignment="1">
      <alignment vertical="center"/>
    </xf>
    <xf numFmtId="9" fontId="85" fillId="0" borderId="80" xfId="0" applyNumberFormat="1" applyFont="1" applyFill="1" applyBorder="1" applyAlignment="1">
      <alignment horizontal="center" vertical="center"/>
    </xf>
    <xf numFmtId="0" fontId="85" fillId="32" borderId="80" xfId="0" applyFont="1" applyFill="1" applyBorder="1" applyAlignment="1">
      <alignment horizontal="center" vertical="center"/>
    </xf>
    <xf numFmtId="0" fontId="85" fillId="32" borderId="73" xfId="0" applyFont="1" applyFill="1" applyBorder="1" applyAlignment="1">
      <alignment horizontal="center" vertical="center"/>
    </xf>
    <xf numFmtId="0" fontId="85" fillId="2" borderId="254" xfId="0" applyFont="1" applyFill="1" applyBorder="1" applyAlignment="1">
      <alignment vertical="center" wrapText="1"/>
    </xf>
    <xf numFmtId="169" fontId="85" fillId="4" borderId="255" xfId="1" applyNumberFormat="1" applyFont="1" applyFill="1" applyBorder="1" applyAlignment="1">
      <alignment horizontal="center" vertical="center"/>
    </xf>
    <xf numFmtId="9" fontId="85" fillId="0" borderId="255" xfId="0" applyNumberFormat="1" applyFont="1" applyFill="1" applyBorder="1" applyAlignment="1">
      <alignment horizontal="center" vertical="center"/>
    </xf>
    <xf numFmtId="0" fontId="85" fillId="32" borderId="255" xfId="0" applyFont="1" applyFill="1" applyBorder="1" applyAlignment="1">
      <alignment vertical="center"/>
    </xf>
    <xf numFmtId="0" fontId="85" fillId="32" borderId="256" xfId="0" applyFont="1" applyFill="1" applyBorder="1" applyAlignment="1">
      <alignment vertical="center"/>
    </xf>
    <xf numFmtId="0" fontId="1" fillId="0" borderId="0" xfId="0" applyFont="1" applyAlignment="1">
      <alignment vertical="center"/>
    </xf>
    <xf numFmtId="43" fontId="0" fillId="0" borderId="0" xfId="0" applyNumberFormat="1"/>
    <xf numFmtId="165" fontId="14" fillId="5" borderId="99" xfId="0" applyNumberFormat="1" applyFont="1" applyFill="1" applyBorder="1"/>
    <xf numFmtId="165" fontId="14" fillId="5" borderId="102" xfId="0" applyNumberFormat="1" applyFont="1" applyFill="1" applyBorder="1"/>
    <xf numFmtId="0" fontId="76" fillId="20" borderId="120" xfId="0" applyFont="1" applyFill="1" applyBorder="1" applyAlignment="1">
      <alignment horizontal="center" vertical="center"/>
    </xf>
    <xf numFmtId="0" fontId="76" fillId="20" borderId="223" xfId="0" applyFont="1" applyFill="1" applyBorder="1" applyAlignment="1">
      <alignment horizontal="center" vertical="center"/>
    </xf>
    <xf numFmtId="0" fontId="76" fillId="20" borderId="121" xfId="0" applyFont="1" applyFill="1" applyBorder="1" applyAlignment="1">
      <alignment horizontal="center" vertical="center"/>
    </xf>
    <xf numFmtId="0" fontId="15" fillId="10" borderId="115" xfId="0" applyFont="1" applyFill="1" applyBorder="1" applyAlignment="1" applyProtection="1">
      <alignment horizontal="right"/>
    </xf>
    <xf numFmtId="9" fontId="15" fillId="21" borderId="145" xfId="0" applyNumberFormat="1" applyFont="1" applyFill="1" applyBorder="1" applyAlignment="1">
      <alignment horizontal="center" vertical="center"/>
    </xf>
    <xf numFmtId="9" fontId="50" fillId="6" borderId="49" xfId="2" applyFont="1" applyFill="1" applyBorder="1" applyAlignment="1">
      <alignment horizontal="center" vertical="center"/>
    </xf>
    <xf numFmtId="0" fontId="87" fillId="6" borderId="0" xfId="5" applyFont="1" applyFill="1" applyBorder="1" applyAlignment="1">
      <alignment horizontal="left" vertical="center"/>
    </xf>
    <xf numFmtId="0" fontId="50" fillId="6" borderId="141" xfId="0" applyFont="1" applyFill="1" applyBorder="1" applyAlignment="1">
      <alignment horizontal="center" vertical="center"/>
    </xf>
    <xf numFmtId="0" fontId="15" fillId="6" borderId="0" xfId="0" applyFont="1" applyFill="1" applyBorder="1" applyAlignment="1">
      <alignment horizontal="left"/>
    </xf>
    <xf numFmtId="0" fontId="76" fillId="6" borderId="0" xfId="0" applyFont="1" applyFill="1" applyBorder="1" applyAlignment="1">
      <alignment horizontal="right" vertical="center"/>
    </xf>
    <xf numFmtId="0" fontId="10" fillId="6" borderId="0" xfId="5" applyFont="1" applyFill="1" applyBorder="1" applyAlignment="1">
      <alignment horizontal="left" vertical="center"/>
    </xf>
    <xf numFmtId="0" fontId="75" fillId="6" borderId="0" xfId="0" applyFont="1" applyFill="1"/>
    <xf numFmtId="0" fontId="88" fillId="6" borderId="0" xfId="0" applyFont="1" applyFill="1" applyBorder="1" applyAlignment="1">
      <alignment horizontal="left" vertical="center"/>
    </xf>
    <xf numFmtId="0" fontId="89" fillId="6" borderId="0" xfId="5" applyFont="1" applyFill="1" applyBorder="1" applyAlignment="1">
      <alignment horizontal="left"/>
    </xf>
    <xf numFmtId="0" fontId="0" fillId="6" borderId="48" xfId="0" applyFill="1" applyBorder="1" applyAlignment="1">
      <alignment horizontal="right" vertical="center"/>
    </xf>
    <xf numFmtId="9" fontId="10" fillId="6" borderId="16" xfId="2" applyFont="1" applyFill="1" applyBorder="1" applyAlignment="1">
      <alignment horizontal="right" vertical="center"/>
    </xf>
    <xf numFmtId="165" fontId="9" fillId="6" borderId="16" xfId="0" applyNumberFormat="1" applyFont="1" applyFill="1" applyBorder="1" applyAlignment="1">
      <alignment horizontal="center" vertical="center"/>
    </xf>
    <xf numFmtId="9" fontId="10" fillId="6" borderId="8" xfId="2" applyFont="1" applyFill="1" applyBorder="1" applyAlignment="1">
      <alignment horizontal="right" vertical="center"/>
    </xf>
    <xf numFmtId="0" fontId="9" fillId="6" borderId="8" xfId="0" applyFont="1" applyFill="1" applyBorder="1" applyAlignment="1">
      <alignment horizontal="center" vertical="center"/>
    </xf>
    <xf numFmtId="9" fontId="0" fillId="6" borderId="4" xfId="2" applyFont="1" applyFill="1" applyBorder="1" applyAlignment="1">
      <alignment horizontal="center" vertical="center"/>
    </xf>
    <xf numFmtId="0" fontId="60" fillId="6" borderId="173" xfId="0" applyFont="1" applyFill="1" applyBorder="1" applyAlignment="1">
      <alignment horizontal="center" vertical="center"/>
    </xf>
    <xf numFmtId="165" fontId="14" fillId="6" borderId="59" xfId="2" applyNumberFormat="1" applyFont="1" applyFill="1" applyBorder="1" applyAlignment="1">
      <alignment horizontal="right"/>
    </xf>
    <xf numFmtId="165" fontId="14" fillId="6" borderId="182" xfId="0" applyNumberFormat="1" applyFont="1" applyFill="1" applyBorder="1"/>
    <xf numFmtId="165" fontId="14" fillId="6" borderId="99" xfId="0" applyNumberFormat="1" applyFont="1" applyFill="1" applyBorder="1"/>
    <xf numFmtId="0" fontId="14" fillId="6" borderId="4" xfId="0" applyNumberFormat="1" applyFont="1" applyFill="1" applyBorder="1" applyAlignment="1">
      <alignment horizontal="center"/>
    </xf>
    <xf numFmtId="165" fontId="14" fillId="6" borderId="4" xfId="0" applyNumberFormat="1" applyFont="1" applyFill="1" applyBorder="1" applyAlignment="1">
      <alignment horizontal="center"/>
    </xf>
    <xf numFmtId="0" fontId="14" fillId="6" borderId="168" xfId="0" applyNumberFormat="1" applyFont="1" applyFill="1" applyBorder="1" applyAlignment="1">
      <alignment horizontal="center"/>
    </xf>
    <xf numFmtId="165" fontId="14" fillId="6" borderId="168" xfId="0" applyNumberFormat="1" applyFont="1" applyFill="1" applyBorder="1" applyAlignment="1">
      <alignment horizontal="center"/>
    </xf>
    <xf numFmtId="0" fontId="14" fillId="6" borderId="49" xfId="0" applyNumberFormat="1" applyFont="1" applyFill="1" applyBorder="1" applyAlignment="1">
      <alignment horizontal="center"/>
    </xf>
    <xf numFmtId="165" fontId="14" fillId="6" borderId="49" xfId="0" applyNumberFormat="1" applyFont="1" applyFill="1" applyBorder="1"/>
    <xf numFmtId="0" fontId="3" fillId="3" borderId="20" xfId="0" applyFont="1" applyFill="1" applyBorder="1" applyAlignment="1">
      <alignment horizontal="left"/>
    </xf>
    <xf numFmtId="0" fontId="3" fillId="3" borderId="13" xfId="0" applyFont="1" applyFill="1" applyBorder="1" applyAlignment="1">
      <alignment horizontal="left"/>
    </xf>
    <xf numFmtId="0" fontId="3" fillId="3" borderId="4" xfId="0" applyFont="1" applyFill="1" applyBorder="1" applyAlignment="1">
      <alignment horizontal="left"/>
    </xf>
    <xf numFmtId="0" fontId="13" fillId="5" borderId="0" xfId="0" applyFont="1" applyFill="1" applyBorder="1" applyAlignment="1">
      <alignment horizontal="center"/>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26" xfId="0" applyFont="1" applyFill="1" applyBorder="1" applyAlignment="1">
      <alignment horizontal="left"/>
    </xf>
    <xf numFmtId="0" fontId="3" fillId="3" borderId="84" xfId="0" applyFont="1" applyFill="1" applyBorder="1" applyAlignment="1">
      <alignment horizontal="left"/>
    </xf>
    <xf numFmtId="0" fontId="3" fillId="3" borderId="7"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166" fontId="3" fillId="6" borderId="6" xfId="2" applyNumberFormat="1" applyFont="1" applyFill="1" applyBorder="1" applyAlignment="1">
      <alignment horizontal="center"/>
    </xf>
    <xf numFmtId="166" fontId="3" fillId="6" borderId="12" xfId="2" applyNumberFormat="1" applyFont="1" applyFill="1" applyBorder="1" applyAlignment="1">
      <alignment horizontal="center"/>
    </xf>
    <xf numFmtId="166" fontId="3" fillId="6" borderId="13" xfId="2" applyNumberFormat="1" applyFont="1" applyFill="1" applyBorder="1" applyAlignment="1">
      <alignment horizontal="center"/>
    </xf>
    <xf numFmtId="0" fontId="5" fillId="0" borderId="4" xfId="0" applyFont="1" applyFill="1" applyBorder="1" applyAlignment="1">
      <alignment horizontal="left"/>
    </xf>
    <xf numFmtId="0" fontId="11" fillId="0" borderId="4" xfId="0" applyFont="1" applyFill="1" applyBorder="1" applyAlignment="1">
      <alignment horizontal="left"/>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0" fontId="3" fillId="3" borderId="24" xfId="0" applyFont="1" applyFill="1" applyBorder="1" applyAlignment="1">
      <alignment horizontal="left" vertical="center"/>
    </xf>
    <xf numFmtId="0" fontId="3" fillId="3" borderId="25" xfId="0" applyFont="1" applyFill="1" applyBorder="1" applyAlignment="1">
      <alignment horizontal="left" vertical="center"/>
    </xf>
    <xf numFmtId="0" fontId="45" fillId="7" borderId="13" xfId="0" applyFont="1" applyFill="1" applyBorder="1" applyAlignment="1">
      <alignment horizontal="center" vertical="center" wrapText="1"/>
    </xf>
    <xf numFmtId="0" fontId="45" fillId="7" borderId="6" xfId="0" applyFont="1" applyFill="1" applyBorder="1" applyAlignment="1">
      <alignment horizontal="center" vertical="center" wrapText="1"/>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16" fillId="7" borderId="13"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9" fillId="6" borderId="4" xfId="0" applyFont="1" applyFill="1" applyBorder="1" applyAlignment="1">
      <alignment horizontal="left" vertical="center" wrapText="1"/>
    </xf>
    <xf numFmtId="0" fontId="9" fillId="6" borderId="15" xfId="0" applyFont="1" applyFill="1" applyBorder="1" applyAlignment="1">
      <alignment horizontal="left" vertical="center" wrapText="1"/>
    </xf>
    <xf numFmtId="9" fontId="9" fillId="6" borderId="13" xfId="2" applyFont="1" applyFill="1" applyBorder="1" applyAlignment="1">
      <alignment horizontal="center" vertical="center"/>
    </xf>
    <xf numFmtId="9" fontId="9" fillId="6" borderId="6"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9" fillId="6" borderId="20" xfId="0" applyFont="1" applyFill="1" applyBorder="1" applyAlignment="1">
      <alignment horizontal="left" vertical="center" wrapText="1"/>
    </xf>
    <xf numFmtId="0" fontId="9" fillId="6" borderId="7" xfId="0" applyFont="1" applyFill="1" applyBorder="1" applyAlignment="1">
      <alignment horizontal="center" vertical="center" wrapText="1"/>
    </xf>
    <xf numFmtId="0" fontId="9" fillId="6" borderId="8" xfId="0" applyFont="1" applyFill="1" applyBorder="1" applyAlignment="1">
      <alignment horizontal="center" vertical="center" wrapText="1"/>
    </xf>
    <xf numFmtId="49" fontId="9" fillId="0" borderId="29" xfId="1" applyNumberFormat="1" applyFont="1" applyFill="1" applyBorder="1" applyAlignment="1">
      <alignment horizontal="center" vertical="center" wrapText="1"/>
    </xf>
    <xf numFmtId="49" fontId="9" fillId="0" borderId="15" xfId="0" applyNumberFormat="1" applyFont="1" applyFill="1" applyBorder="1" applyAlignment="1">
      <alignment horizontal="left" vertical="center"/>
    </xf>
    <xf numFmtId="49" fontId="9" fillId="0" borderId="28" xfId="0" applyNumberFormat="1" applyFont="1" applyFill="1" applyBorder="1" applyAlignment="1">
      <alignment horizontal="left" vertical="center"/>
    </xf>
    <xf numFmtId="0" fontId="6" fillId="8" borderId="17" xfId="0" applyFont="1" applyFill="1" applyBorder="1" applyAlignment="1">
      <alignment horizontal="left"/>
    </xf>
    <xf numFmtId="0" fontId="6" fillId="8" borderId="82"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9" fillId="0" borderId="20" xfId="0" applyFont="1" applyFill="1" applyBorder="1" applyAlignment="1">
      <alignment horizontal="left" vertical="center" wrapText="1"/>
    </xf>
    <xf numFmtId="0" fontId="9" fillId="0" borderId="24"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13" xfId="2" applyFont="1" applyFill="1" applyBorder="1" applyAlignment="1">
      <alignment horizontal="center" vertical="center"/>
    </xf>
    <xf numFmtId="9" fontId="9" fillId="0" borderId="29" xfId="2" applyFont="1" applyFill="1" applyBorder="1" applyAlignment="1">
      <alignment horizontal="center" vertical="center"/>
    </xf>
    <xf numFmtId="9" fontId="9" fillId="0" borderId="6"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9" fillId="0" borderId="7" xfId="0" applyFont="1" applyFill="1" applyBorder="1" applyAlignment="1">
      <alignment horizontal="center" vertical="center" wrapText="1"/>
    </xf>
    <xf numFmtId="0" fontId="9" fillId="0" borderId="30" xfId="0" applyFont="1" applyFill="1" applyBorder="1" applyAlignment="1">
      <alignment horizontal="center" vertical="center" wrapText="1"/>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0" fontId="10" fillId="3" borderId="28" xfId="0" applyFont="1" applyFill="1" applyBorder="1" applyAlignment="1">
      <alignment horizontal="center" vertical="center"/>
    </xf>
    <xf numFmtId="0" fontId="9" fillId="0" borderId="8" xfId="0" applyFont="1" applyFill="1" applyBorder="1" applyAlignment="1">
      <alignment horizontal="center" vertical="center" wrapText="1"/>
    </xf>
    <xf numFmtId="0" fontId="16" fillId="3" borderId="83" xfId="0" applyFont="1" applyFill="1" applyBorder="1" applyAlignment="1">
      <alignment horizontal="center" vertical="center"/>
    </xf>
    <xf numFmtId="0" fontId="16" fillId="3" borderId="13"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0" fontId="3" fillId="6"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0" fontId="3" fillId="3" borderId="29" xfId="0" applyFont="1" applyFill="1" applyBorder="1" applyAlignment="1">
      <alignment horizontal="left" vertical="center"/>
    </xf>
    <xf numFmtId="0" fontId="0" fillId="0" borderId="25" xfId="0"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0" fontId="57" fillId="5" borderId="37"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14" fontId="0" fillId="6" borderId="4" xfId="0" applyNumberFormat="1" applyFont="1" applyFill="1" applyBorder="1" applyAlignment="1">
      <alignment horizontal="left"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9" fillId="0" borderId="91" xfId="0" applyFont="1" applyFill="1" applyBorder="1" applyAlignment="1">
      <alignment horizontal="center"/>
    </xf>
    <xf numFmtId="0" fontId="49" fillId="0" borderId="92" xfId="0" applyFont="1" applyFill="1" applyBorder="1" applyAlignment="1">
      <alignment horizontal="center"/>
    </xf>
    <xf numFmtId="0" fontId="49"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75" fillId="4" borderId="44" xfId="0" applyFont="1" applyFill="1" applyBorder="1" applyAlignment="1">
      <alignment horizontal="left" vertical="top" wrapText="1"/>
    </xf>
    <xf numFmtId="0" fontId="75" fillId="4" borderId="0" xfId="0" applyFont="1" applyFill="1" applyBorder="1" applyAlignment="1">
      <alignment horizontal="left" vertical="top" wrapText="1"/>
    </xf>
    <xf numFmtId="0" fontId="75" fillId="4" borderId="22" xfId="0" applyFont="1" applyFill="1" applyBorder="1" applyAlignment="1">
      <alignment horizontal="left" vertical="top" wrapText="1"/>
    </xf>
    <xf numFmtId="0" fontId="75" fillId="4" borderId="47" xfId="0" applyFont="1" applyFill="1" applyBorder="1" applyAlignment="1">
      <alignment horizontal="left" vertical="top" wrapText="1"/>
    </xf>
    <xf numFmtId="0" fontId="75" fillId="4" borderId="33" xfId="0" applyFont="1" applyFill="1" applyBorder="1" applyAlignment="1">
      <alignment horizontal="left" vertical="top" wrapText="1"/>
    </xf>
    <xf numFmtId="0" fontId="75"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6" borderId="6" xfId="0" applyFont="1" applyFill="1" applyBorder="1" applyAlignment="1">
      <alignment horizontal="center"/>
    </xf>
    <xf numFmtId="0" fontId="0" fillId="6" borderId="12" xfId="0" applyFont="1" applyFill="1" applyBorder="1" applyAlignment="1">
      <alignment horizontal="center"/>
    </xf>
    <xf numFmtId="0" fontId="0" fillId="6"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3" fillId="3" borderId="20" xfId="0" applyFont="1" applyFill="1" applyBorder="1" applyAlignment="1">
      <alignment horizontal="center" vertical="center"/>
    </xf>
    <xf numFmtId="0" fontId="47" fillId="3" borderId="4" xfId="0" applyFont="1" applyFill="1" applyBorder="1" applyAlignment="1">
      <alignment horizontal="center" vertical="center" wrapText="1"/>
    </xf>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9" fontId="0" fillId="6" borderId="4" xfId="2" applyFont="1" applyFill="1" applyBorder="1" applyAlignment="1">
      <alignment horizontal="center" vertical="center"/>
    </xf>
    <xf numFmtId="9" fontId="0" fillId="0" borderId="25" xfId="2" applyFont="1" applyFill="1" applyBorder="1" applyAlignment="1">
      <alignment horizontal="center" vertical="center"/>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xf numFmtId="0" fontId="39" fillId="15" borderId="4" xfId="5" applyFont="1" applyFill="1" applyBorder="1" applyAlignment="1" applyProtection="1">
      <alignment horizontal="right"/>
    </xf>
    <xf numFmtId="166" fontId="42" fillId="17" borderId="6" xfId="11" applyNumberFormat="1" applyFont="1" applyFill="1" applyBorder="1" applyAlignment="1" applyProtection="1">
      <alignment horizontal="center" vertical="center"/>
    </xf>
    <xf numFmtId="166" fontId="42"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9" fillId="4" borderId="6" xfId="5" applyFont="1" applyFill="1" applyBorder="1" applyAlignment="1" applyProtection="1">
      <alignment horizontal="center"/>
    </xf>
    <xf numFmtId="0" fontId="39" fillId="4" borderId="12" xfId="5" applyFont="1" applyFill="1" applyBorder="1" applyAlignment="1" applyProtection="1">
      <alignment horizontal="center"/>
    </xf>
    <xf numFmtId="0" fontId="39" fillId="4" borderId="13" xfId="5" applyFont="1" applyFill="1" applyBorder="1" applyAlignment="1" applyProtection="1">
      <alignment horizontal="center"/>
    </xf>
    <xf numFmtId="0" fontId="39" fillId="15" borderId="4" xfId="5" applyFont="1" applyFill="1" applyBorder="1" applyAlignment="1" applyProtection="1">
      <alignment horizontal="center"/>
    </xf>
    <xf numFmtId="2" fontId="39" fillId="17" borderId="4" xfId="5" applyNumberFormat="1" applyFont="1" applyFill="1" applyBorder="1" applyAlignment="1" applyProtection="1">
      <alignment horizontal="center"/>
    </xf>
    <xf numFmtId="0" fontId="39" fillId="15" borderId="6" xfId="5" applyFont="1" applyFill="1" applyBorder="1" applyAlignment="1" applyProtection="1">
      <alignment horizontal="right"/>
    </xf>
    <xf numFmtId="0" fontId="39" fillId="15" borderId="12" xfId="5" applyFont="1" applyFill="1" applyBorder="1" applyAlignment="1" applyProtection="1">
      <alignment horizontal="right"/>
    </xf>
    <xf numFmtId="0" fontId="39" fillId="15" borderId="13" xfId="5" applyFont="1" applyFill="1" applyBorder="1" applyAlignment="1" applyProtection="1">
      <alignment horizontal="right"/>
    </xf>
    <xf numFmtId="2" fontId="39" fillId="17" borderId="6" xfId="10" applyNumberFormat="1" applyFont="1" applyFill="1" applyBorder="1" applyAlignment="1" applyProtection="1">
      <alignment horizontal="center" vertical="center"/>
    </xf>
    <xf numFmtId="2" fontId="39" fillId="17" borderId="13" xfId="10" applyNumberFormat="1" applyFont="1" applyFill="1" applyBorder="1" applyAlignment="1" applyProtection="1">
      <alignment horizontal="center" vertical="center"/>
    </xf>
    <xf numFmtId="0" fontId="41" fillId="15" borderId="4" xfId="5" applyFont="1" applyFill="1" applyBorder="1" applyAlignment="1" applyProtection="1">
      <alignment horizontal="right"/>
    </xf>
    <xf numFmtId="2" fontId="41" fillId="17" borderId="4" xfId="10" applyNumberFormat="1" applyFont="1" applyFill="1" applyBorder="1" applyAlignment="1" applyProtection="1">
      <alignment horizontal="center" vertical="center"/>
    </xf>
    <xf numFmtId="0" fontId="11" fillId="4" borderId="26" xfId="0" applyFont="1" applyFill="1" applyBorder="1" applyAlignment="1">
      <alignment horizontal="left" wrapText="1"/>
    </xf>
    <xf numFmtId="0" fontId="11" fillId="4" borderId="86" xfId="0" applyFont="1" applyFill="1" applyBorder="1" applyAlignment="1">
      <alignment horizontal="left"/>
    </xf>
    <xf numFmtId="0" fontId="11" fillId="4" borderId="29" xfId="0" applyFont="1" applyFill="1" applyBorder="1" applyAlignment="1">
      <alignment horizontal="left"/>
    </xf>
    <xf numFmtId="0" fontId="3" fillId="0" borderId="6"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4" xfId="0" applyFont="1" applyFill="1" applyBorder="1" applyAlignment="1">
      <alignment horizontal="center" vertical="center"/>
    </xf>
    <xf numFmtId="0" fontId="3" fillId="6" borderId="84" xfId="0" applyFont="1" applyFill="1" applyBorder="1" applyAlignment="1">
      <alignment horizontal="center" vertical="center"/>
    </xf>
    <xf numFmtId="0" fontId="3" fillId="6" borderId="9" xfId="0" applyFont="1" applyFill="1" applyBorder="1" applyAlignment="1">
      <alignment horizontal="center"/>
    </xf>
    <xf numFmtId="0" fontId="3" fillId="6" borderId="14" xfId="0" applyFont="1" applyFill="1" applyBorder="1" applyAlignment="1">
      <alignment horizontal="center"/>
    </xf>
    <xf numFmtId="0" fontId="3" fillId="6" borderId="84" xfId="0" applyFont="1" applyFill="1" applyBorder="1" applyAlignment="1">
      <alignment horizontal="center"/>
    </xf>
    <xf numFmtId="0" fontId="5" fillId="0" borderId="18" xfId="0" applyFont="1" applyFill="1" applyBorder="1" applyAlignment="1">
      <alignment horizontal="left"/>
    </xf>
    <xf numFmtId="165" fontId="14" fillId="18" borderId="98" xfId="3" applyNumberFormat="1" applyFont="1" applyFill="1" applyBorder="1" applyAlignment="1" applyProtection="1">
      <alignment horizontal="center"/>
    </xf>
    <xf numFmtId="165" fontId="14" fillId="18" borderId="112" xfId="3" applyNumberFormat="1" applyFont="1" applyFill="1" applyBorder="1" applyAlignment="1" applyProtection="1">
      <alignment horizontal="center"/>
    </xf>
    <xf numFmtId="0" fontId="14" fillId="20" borderId="99" xfId="0" applyFont="1" applyFill="1" applyBorder="1" applyAlignment="1">
      <alignment horizontal="center"/>
    </xf>
    <xf numFmtId="0" fontId="14" fillId="20" borderId="102" xfId="0" applyFont="1" applyFill="1" applyBorder="1" applyAlignment="1">
      <alignment horizontal="center"/>
    </xf>
    <xf numFmtId="0" fontId="14" fillId="21" borderId="99" xfId="0" applyFont="1" applyFill="1" applyBorder="1" applyAlignment="1">
      <alignment horizontal="center"/>
    </xf>
    <xf numFmtId="0" fontId="14" fillId="21" borderId="100" xfId="0" applyFont="1" applyFill="1" applyBorder="1" applyAlignment="1">
      <alignment horizontal="center"/>
    </xf>
    <xf numFmtId="0" fontId="14"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50" fillId="10" borderId="176" xfId="0" applyFont="1" applyFill="1" applyBorder="1" applyAlignment="1" applyProtection="1">
      <alignment horizontal="center"/>
    </xf>
    <xf numFmtId="0" fontId="50" fillId="10" borderId="177" xfId="0" applyFont="1" applyFill="1" applyBorder="1" applyAlignment="1" applyProtection="1">
      <alignment horizontal="center"/>
    </xf>
    <xf numFmtId="0" fontId="50" fillId="10" borderId="141" xfId="0" applyFont="1" applyFill="1" applyBorder="1" applyAlignment="1" applyProtection="1">
      <alignment horizontal="center"/>
    </xf>
    <xf numFmtId="0" fontId="50" fillId="10" borderId="148" xfId="0" applyFont="1" applyFill="1" applyBorder="1" applyAlignment="1" applyProtection="1">
      <alignment horizontal="center"/>
    </xf>
    <xf numFmtId="0" fontId="50" fillId="10" borderId="178" xfId="0" applyFont="1" applyFill="1" applyBorder="1" applyAlignment="1" applyProtection="1">
      <alignment horizontal="center"/>
    </xf>
    <xf numFmtId="0" fontId="50" fillId="10" borderId="179" xfId="0" applyFont="1" applyFill="1" applyBorder="1" applyAlignment="1" applyProtection="1">
      <alignment horizontal="center"/>
    </xf>
    <xf numFmtId="0" fontId="15" fillId="18" borderId="178" xfId="0" applyFont="1" applyFill="1" applyBorder="1" applyAlignment="1" applyProtection="1">
      <alignment horizontal="center"/>
    </xf>
    <xf numFmtId="0" fontId="15" fillId="18" borderId="156" xfId="0" applyFont="1" applyFill="1" applyBorder="1" applyAlignment="1" applyProtection="1">
      <alignment horizontal="center"/>
    </xf>
    <xf numFmtId="0" fontId="15" fillId="10" borderId="178" xfId="0" applyFont="1" applyFill="1" applyBorder="1" applyAlignment="1" applyProtection="1">
      <alignment horizontal="center"/>
    </xf>
    <xf numFmtId="0" fontId="15" fillId="10" borderId="156" xfId="0" applyFont="1" applyFill="1" applyBorder="1" applyAlignment="1" applyProtection="1">
      <alignment horizontal="center"/>
    </xf>
    <xf numFmtId="0" fontId="15" fillId="10" borderId="115" xfId="0" applyFont="1" applyFill="1" applyBorder="1" applyAlignment="1">
      <alignment horizontal="right" vertical="center" wrapText="1"/>
    </xf>
    <xf numFmtId="0" fontId="15" fillId="10" borderId="112" xfId="0" applyFont="1" applyFill="1" applyBorder="1" applyAlignment="1">
      <alignment horizontal="right" vertical="center" wrapText="1"/>
    </xf>
    <xf numFmtId="167" fontId="14" fillId="18" borderId="98" xfId="5" applyNumberFormat="1" applyFont="1" applyFill="1" applyBorder="1" applyAlignment="1" applyProtection="1">
      <alignment horizontal="center"/>
    </xf>
    <xf numFmtId="167" fontId="14" fillId="18" borderId="112" xfId="5" applyNumberFormat="1" applyFont="1" applyFill="1" applyBorder="1" applyAlignment="1" applyProtection="1">
      <alignment horizontal="center"/>
    </xf>
    <xf numFmtId="0" fontId="15" fillId="10" borderId="115" xfId="0" applyFont="1" applyFill="1" applyBorder="1" applyAlignment="1" applyProtection="1">
      <alignment horizontal="right"/>
    </xf>
    <xf numFmtId="0" fontId="15" fillId="10" borderId="112" xfId="0" applyFont="1" applyFill="1" applyBorder="1" applyAlignment="1" applyProtection="1">
      <alignment horizontal="right"/>
    </xf>
    <xf numFmtId="0" fontId="23" fillId="20" borderId="99" xfId="0" applyFont="1" applyFill="1" applyBorder="1" applyAlignment="1">
      <alignment horizontal="center"/>
    </xf>
    <xf numFmtId="0" fontId="23" fillId="20" borderId="102" xfId="0" applyFont="1" applyFill="1" applyBorder="1" applyAlignment="1">
      <alignment horizontal="center"/>
    </xf>
    <xf numFmtId="0" fontId="23" fillId="21" borderId="99" xfId="0" applyFont="1" applyFill="1" applyBorder="1" applyAlignment="1">
      <alignment horizontal="center"/>
    </xf>
    <xf numFmtId="0" fontId="23" fillId="21" borderId="100" xfId="0" applyFont="1" applyFill="1" applyBorder="1" applyAlignment="1">
      <alignment horizontal="center"/>
    </xf>
    <xf numFmtId="0" fontId="23" fillId="20" borderId="103" xfId="0" applyFont="1" applyFill="1" applyBorder="1" applyAlignment="1">
      <alignment horizontal="center"/>
    </xf>
    <xf numFmtId="0" fontId="15" fillId="10" borderId="115" xfId="0" applyFont="1" applyFill="1" applyBorder="1" applyAlignment="1">
      <alignment horizontal="right" vertical="center"/>
    </xf>
    <xf numFmtId="0" fontId="15" fillId="10" borderId="112" xfId="0" applyFont="1" applyFill="1" applyBorder="1" applyAlignment="1">
      <alignment horizontal="right" vertical="center"/>
    </xf>
    <xf numFmtId="0" fontId="22" fillId="21" borderId="151" xfId="0" applyFont="1" applyFill="1" applyBorder="1" applyAlignment="1">
      <alignment horizontal="center"/>
    </xf>
    <xf numFmtId="0" fontId="22" fillId="21" borderId="153" xfId="0" applyFont="1" applyFill="1" applyBorder="1" applyAlignment="1">
      <alignment horizontal="center"/>
    </xf>
    <xf numFmtId="0" fontId="22" fillId="20" borderId="154" xfId="0" applyFont="1" applyFill="1" applyBorder="1" applyAlignment="1">
      <alignment horizontal="center"/>
    </xf>
    <xf numFmtId="0" fontId="22" fillId="20" borderId="153" xfId="0" applyFont="1" applyFill="1" applyBorder="1" applyAlignment="1">
      <alignment horizontal="center"/>
    </xf>
    <xf numFmtId="0" fontId="15" fillId="10" borderId="126" xfId="0" applyFont="1" applyFill="1" applyBorder="1" applyAlignment="1">
      <alignment horizontal="right"/>
    </xf>
    <xf numFmtId="0" fontId="15" fillId="10" borderId="127" xfId="0" applyFont="1" applyFill="1" applyBorder="1" applyAlignment="1">
      <alignment horizontal="right"/>
    </xf>
    <xf numFmtId="0" fontId="15" fillId="18" borderId="98" xfId="5" applyNumberFormat="1" applyFont="1" applyFill="1" applyBorder="1" applyAlignment="1" applyProtection="1">
      <alignment horizontal="center"/>
    </xf>
    <xf numFmtId="0" fontId="15" fillId="18" borderId="112" xfId="5" applyNumberFormat="1" applyFont="1" applyFill="1" applyBorder="1" applyAlignment="1" applyProtection="1">
      <alignment horizontal="center"/>
    </xf>
    <xf numFmtId="0" fontId="14" fillId="10" borderId="98" xfId="0" applyFont="1" applyFill="1" applyBorder="1" applyAlignment="1">
      <alignment horizontal="center"/>
    </xf>
    <xf numFmtId="0" fontId="14" fillId="10" borderId="127" xfId="0" applyFont="1" applyFill="1" applyBorder="1" applyAlignment="1">
      <alignment horizontal="center"/>
    </xf>
    <xf numFmtId="0" fontId="14" fillId="10" borderId="112" xfId="0" applyFont="1" applyFill="1" applyBorder="1" applyAlignment="1">
      <alignment horizontal="center"/>
    </xf>
    <xf numFmtId="0" fontId="14" fillId="20" borderId="105" xfId="0" applyFont="1" applyFill="1" applyBorder="1" applyAlignment="1">
      <alignment horizontal="center"/>
    </xf>
    <xf numFmtId="0" fontId="6" fillId="11" borderId="135" xfId="0" applyFont="1" applyFill="1" applyBorder="1" applyAlignment="1">
      <alignment horizontal="center"/>
    </xf>
    <xf numFmtId="0" fontId="6" fillId="11" borderId="110" xfId="0" applyFont="1" applyFill="1" applyBorder="1" applyAlignment="1">
      <alignment horizontal="center"/>
    </xf>
    <xf numFmtId="0" fontId="6" fillId="11" borderId="111" xfId="0" applyFont="1" applyFill="1" applyBorder="1" applyAlignment="1">
      <alignment horizontal="center"/>
    </xf>
    <xf numFmtId="0" fontId="15" fillId="18" borderId="113" xfId="0" applyFont="1" applyFill="1" applyBorder="1" applyAlignment="1">
      <alignment horizontal="center" vertical="center"/>
    </xf>
    <xf numFmtId="0" fontId="15" fillId="18" borderId="114" xfId="0" applyFont="1" applyFill="1" applyBorder="1" applyAlignment="1">
      <alignment horizontal="center" vertical="center"/>
    </xf>
    <xf numFmtId="0" fontId="15" fillId="18" borderId="118" xfId="0" applyFont="1" applyFill="1" applyBorder="1" applyAlignment="1">
      <alignment horizontal="center" vertical="center"/>
    </xf>
    <xf numFmtId="0" fontId="15" fillId="18" borderId="11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0" fontId="15" fillId="20" borderId="134" xfId="0" applyFont="1" applyFill="1" applyBorder="1" applyAlignment="1">
      <alignment horizontal="center" vertical="center"/>
    </xf>
    <xf numFmtId="0" fontId="15" fillId="20" borderId="137" xfId="0" applyFont="1" applyFill="1" applyBorder="1" applyAlignment="1">
      <alignment horizontal="center" vertical="center"/>
    </xf>
    <xf numFmtId="0" fontId="15" fillId="21" borderId="134" xfId="0" applyFont="1" applyFill="1" applyBorder="1" applyAlignment="1">
      <alignment horizontal="center" vertical="center"/>
    </xf>
    <xf numFmtId="0" fontId="15" fillId="21" borderId="137" xfId="0" applyFont="1" applyFill="1" applyBorder="1" applyAlignment="1">
      <alignment horizontal="center" vertical="center"/>
    </xf>
    <xf numFmtId="0" fontId="51" fillId="11" borderId="113" xfId="0" applyFont="1" applyFill="1" applyBorder="1" applyAlignment="1" applyProtection="1">
      <alignment horizontal="center" vertical="center"/>
    </xf>
    <xf numFmtId="0" fontId="51" fillId="11" borderId="114" xfId="0" applyFont="1" applyFill="1" applyBorder="1" applyAlignment="1" applyProtection="1">
      <alignment horizontal="center" vertical="center"/>
    </xf>
    <xf numFmtId="0" fontId="51" fillId="11" borderId="115" xfId="0" applyFont="1" applyFill="1" applyBorder="1" applyAlignment="1" applyProtection="1">
      <alignment horizontal="center" vertical="center"/>
    </xf>
    <xf numFmtId="0" fontId="51" fillId="11" borderId="112" xfId="0" applyFont="1" applyFill="1" applyBorder="1" applyAlignment="1" applyProtection="1">
      <alignment horizontal="center" vertical="center"/>
    </xf>
    <xf numFmtId="0" fontId="51" fillId="11" borderId="118" xfId="0" applyFont="1" applyFill="1" applyBorder="1" applyAlignment="1" applyProtection="1">
      <alignment horizontal="center" vertical="center"/>
    </xf>
    <xf numFmtId="0" fontId="51" fillId="11" borderId="119" xfId="0" applyFont="1" applyFill="1" applyBorder="1" applyAlignment="1" applyProtection="1">
      <alignment horizontal="center" vertic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15" fillId="19" borderId="126" xfId="0" applyFont="1" applyFill="1" applyBorder="1" applyAlignment="1">
      <alignment horizontal="right"/>
    </xf>
    <xf numFmtId="0" fontId="15" fillId="19" borderId="127" xfId="0" applyFont="1" applyFill="1" applyBorder="1" applyAlignment="1">
      <alignment horizontal="right"/>
    </xf>
    <xf numFmtId="0" fontId="51" fillId="11" borderId="136" xfId="0" applyFont="1" applyFill="1" applyBorder="1" applyAlignment="1" applyProtection="1">
      <alignment horizontal="center" vertical="center"/>
    </xf>
    <xf numFmtId="0" fontId="51" fillId="11" borderId="137" xfId="0" applyFont="1" applyFill="1" applyBorder="1" applyAlignment="1" applyProtection="1">
      <alignment horizontal="center" vertical="center"/>
    </xf>
    <xf numFmtId="0" fontId="51" fillId="11" borderId="138" xfId="0" applyFont="1" applyFill="1" applyBorder="1" applyAlignment="1" applyProtection="1">
      <alignment horizontal="center" vertical="center"/>
    </xf>
    <xf numFmtId="0" fontId="51" fillId="11" borderId="117" xfId="0" applyFont="1" applyFill="1" applyBorder="1" applyAlignment="1" applyProtection="1">
      <alignment horizontal="center" vertical="center"/>
    </xf>
    <xf numFmtId="0" fontId="51" fillId="11" borderId="139" xfId="0" applyFont="1" applyFill="1" applyBorder="1" applyAlignment="1" applyProtection="1">
      <alignment horizontal="center" vertical="center"/>
    </xf>
    <xf numFmtId="0" fontId="51" fillId="11" borderId="140" xfId="0" applyFont="1" applyFill="1" applyBorder="1" applyAlignment="1" applyProtection="1">
      <alignment horizontal="center" vertical="center"/>
    </xf>
    <xf numFmtId="0" fontId="14" fillId="21" borderId="102" xfId="0" applyFont="1" applyFill="1" applyBorder="1" applyAlignment="1">
      <alignment horizontal="center"/>
    </xf>
    <xf numFmtId="0" fontId="50" fillId="20" borderId="132" xfId="0" applyFont="1" applyFill="1" applyBorder="1" applyAlignment="1">
      <alignment horizontal="center" vertical="center"/>
    </xf>
    <xf numFmtId="0" fontId="50" fillId="20" borderId="133" xfId="0" applyFont="1" applyFill="1" applyBorder="1" applyAlignment="1">
      <alignment horizontal="center" vertical="center"/>
    </xf>
    <xf numFmtId="0" fontId="23" fillId="21" borderId="102" xfId="0" applyFont="1" applyFill="1" applyBorder="1" applyAlignment="1">
      <alignment horizontal="center"/>
    </xf>
    <xf numFmtId="0" fontId="15" fillId="21" borderId="142" xfId="0" applyFont="1" applyFill="1" applyBorder="1" applyAlignment="1" applyProtection="1">
      <alignment horizontal="center" vertical="center"/>
    </xf>
    <xf numFmtId="0" fontId="15" fillId="21" borderId="144" xfId="0" applyFont="1" applyFill="1" applyBorder="1" applyAlignment="1" applyProtection="1">
      <alignment horizontal="center" vertical="center"/>
    </xf>
    <xf numFmtId="165" fontId="14" fillId="7" borderId="142" xfId="0" applyNumberFormat="1" applyFont="1" applyFill="1" applyBorder="1" applyAlignment="1" applyProtection="1">
      <alignment horizontal="center" vertical="center"/>
    </xf>
    <xf numFmtId="165" fontId="14" fillId="7" borderId="144" xfId="0" applyNumberFormat="1" applyFont="1" applyFill="1" applyBorder="1" applyAlignment="1" applyProtection="1">
      <alignment horizontal="center" vertical="center"/>
    </xf>
    <xf numFmtId="0" fontId="14" fillId="18" borderId="98" xfId="5" applyNumberFormat="1" applyFont="1" applyFill="1" applyBorder="1" applyAlignment="1" applyProtection="1">
      <alignment horizontal="center"/>
    </xf>
    <xf numFmtId="0" fontId="14" fillId="18" borderId="112" xfId="5" applyNumberFormat="1" applyFont="1" applyFill="1" applyBorder="1" applyAlignment="1" applyProtection="1">
      <alignment horizontal="center"/>
    </xf>
    <xf numFmtId="0" fontId="76" fillId="10" borderId="176" xfId="0" applyFont="1" applyFill="1" applyBorder="1" applyAlignment="1">
      <alignment horizontal="center"/>
    </xf>
    <xf numFmtId="0" fontId="76" fillId="10" borderId="177" xfId="0" applyFont="1" applyFill="1" applyBorder="1" applyAlignment="1">
      <alignment horizontal="center"/>
    </xf>
    <xf numFmtId="0" fontId="76" fillId="10" borderId="141" xfId="0" applyFont="1" applyFill="1" applyBorder="1" applyAlignment="1">
      <alignment horizontal="center"/>
    </xf>
    <xf numFmtId="0" fontId="76" fillId="10" borderId="148" xfId="0" applyFont="1" applyFill="1" applyBorder="1" applyAlignment="1">
      <alignment horizontal="center"/>
    </xf>
    <xf numFmtId="0" fontId="76" fillId="10" borderId="221" xfId="0" applyFont="1" applyFill="1" applyBorder="1" applyAlignment="1">
      <alignment horizontal="center"/>
    </xf>
    <xf numFmtId="0" fontId="76" fillId="10" borderId="222" xfId="0" applyFont="1" applyFill="1" applyBorder="1" applyAlignment="1">
      <alignment horizontal="center"/>
    </xf>
    <xf numFmtId="0" fontId="51" fillId="11" borderId="126" xfId="0" applyFont="1" applyFill="1" applyBorder="1" applyAlignment="1" applyProtection="1">
      <alignment horizontal="center" vertical="center"/>
    </xf>
    <xf numFmtId="0" fontId="51" fillId="11" borderId="127" xfId="0" applyFont="1" applyFill="1" applyBorder="1" applyAlignment="1" applyProtection="1">
      <alignment horizontal="center" vertical="center"/>
    </xf>
    <xf numFmtId="0" fontId="6" fillId="11" borderId="128" xfId="0" applyFont="1" applyFill="1" applyBorder="1" applyAlignment="1">
      <alignment horizontal="center"/>
    </xf>
    <xf numFmtId="0" fontId="6" fillId="11" borderId="129" xfId="0" applyFont="1" applyFill="1" applyBorder="1" applyAlignment="1">
      <alignment horizontal="center"/>
    </xf>
    <xf numFmtId="0" fontId="6" fillId="11" borderId="130" xfId="0" applyFont="1" applyFill="1" applyBorder="1" applyAlignment="1">
      <alignment horizontal="center"/>
    </xf>
    <xf numFmtId="3" fontId="14" fillId="7" borderId="142" xfId="0" applyNumberFormat="1" applyFont="1" applyFill="1" applyBorder="1" applyAlignment="1" applyProtection="1">
      <alignment horizontal="center" vertical="center"/>
    </xf>
    <xf numFmtId="3" fontId="14" fillId="7" borderId="144" xfId="0" applyNumberFormat="1" applyFont="1" applyFill="1" applyBorder="1" applyAlignment="1" applyProtection="1">
      <alignment horizontal="center" vertical="center"/>
    </xf>
    <xf numFmtId="0" fontId="14" fillId="7" borderId="149" xfId="0" applyFont="1" applyFill="1" applyBorder="1" applyAlignment="1" applyProtection="1">
      <alignment horizontal="center" vertical="center"/>
    </xf>
    <xf numFmtId="0" fontId="14" fillId="7" borderId="150" xfId="0" applyFont="1" applyFill="1" applyBorder="1" applyAlignment="1" applyProtection="1">
      <alignment horizontal="center" vertical="center"/>
    </xf>
    <xf numFmtId="9" fontId="14" fillId="0" borderId="142" xfId="0" applyNumberFormat="1" applyFont="1" applyFill="1" applyBorder="1" applyAlignment="1" applyProtection="1">
      <alignment horizontal="center" vertical="center"/>
      <protection locked="0"/>
    </xf>
    <xf numFmtId="9" fontId="14" fillId="0" borderId="144" xfId="0" applyNumberFormat="1" applyFont="1" applyFill="1" applyBorder="1" applyAlignment="1" applyProtection="1">
      <alignment horizontal="center" vertical="center"/>
      <protection locked="0"/>
    </xf>
    <xf numFmtId="9" fontId="14" fillId="0" borderId="145" xfId="0" applyNumberFormat="1" applyFont="1" applyFill="1" applyBorder="1" applyAlignment="1" applyProtection="1">
      <alignment horizontal="center" vertical="center"/>
      <protection locked="0"/>
    </xf>
    <xf numFmtId="9" fontId="14" fillId="0" borderId="147" xfId="0" applyNumberFormat="1" applyFont="1" applyFill="1" applyBorder="1" applyAlignment="1" applyProtection="1">
      <alignment horizontal="center" vertical="center"/>
      <protection locked="0"/>
    </xf>
    <xf numFmtId="168" fontId="14" fillId="7" borderId="142" xfId="0" applyNumberFormat="1" applyFont="1" applyFill="1" applyBorder="1" applyAlignment="1" applyProtection="1">
      <alignment horizontal="center" vertical="center"/>
    </xf>
    <xf numFmtId="168" fontId="14" fillId="7" borderId="144" xfId="0" applyNumberFormat="1" applyFont="1" applyFill="1" applyBorder="1" applyAlignment="1" applyProtection="1">
      <alignment horizontal="center" vertical="center"/>
    </xf>
    <xf numFmtId="0" fontId="14" fillId="7" borderId="142" xfId="0" applyFont="1" applyFill="1" applyBorder="1" applyAlignment="1" applyProtection="1">
      <alignment horizontal="center" vertical="center"/>
    </xf>
    <xf numFmtId="0" fontId="14" fillId="7" borderId="144" xfId="0" applyFont="1" applyFill="1" applyBorder="1" applyAlignment="1" applyProtection="1">
      <alignment horizontal="center" vertical="center"/>
    </xf>
    <xf numFmtId="0" fontId="76" fillId="20" borderId="120" xfId="0" applyFont="1" applyFill="1" applyBorder="1" applyAlignment="1">
      <alignment horizontal="center" vertical="center"/>
    </xf>
    <xf numFmtId="0" fontId="76" fillId="20" borderId="223" xfId="0" applyFont="1" applyFill="1" applyBorder="1" applyAlignment="1">
      <alignment horizontal="center" vertical="center"/>
    </xf>
    <xf numFmtId="0" fontId="76" fillId="20" borderId="121" xfId="0" applyFont="1" applyFill="1" applyBorder="1" applyAlignment="1">
      <alignment horizontal="center" vertical="center"/>
    </xf>
    <xf numFmtId="3" fontId="79" fillId="4" borderId="229" xfId="0" applyNumberFormat="1" applyFont="1" applyFill="1" applyBorder="1" applyAlignment="1">
      <alignment horizontal="center" vertical="center"/>
    </xf>
    <xf numFmtId="3" fontId="79" fillId="4" borderId="230" xfId="0" applyNumberFormat="1" applyFont="1" applyFill="1" applyBorder="1" applyAlignment="1">
      <alignment horizontal="center" vertical="center"/>
    </xf>
    <xf numFmtId="3" fontId="79" fillId="4" borderId="231" xfId="0" applyNumberFormat="1" applyFont="1" applyFill="1" applyBorder="1" applyAlignment="1">
      <alignment horizontal="center" vertical="center"/>
    </xf>
    <xf numFmtId="0" fontId="15" fillId="21" borderId="145" xfId="0" applyFont="1" applyFill="1" applyBorder="1" applyAlignment="1" applyProtection="1">
      <alignment horizontal="center" vertical="center"/>
    </xf>
    <xf numFmtId="0" fontId="15" fillId="21" borderId="147" xfId="0" applyFont="1" applyFill="1" applyBorder="1" applyAlignment="1" applyProtection="1">
      <alignment horizontal="center" vertical="center"/>
    </xf>
    <xf numFmtId="0" fontId="14" fillId="7" borderId="145"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6" borderId="99" xfId="0" applyFont="1" applyFill="1" applyBorder="1" applyAlignment="1">
      <alignment horizontal="center"/>
    </xf>
    <xf numFmtId="0" fontId="14" fillId="6" borderId="105" xfId="0" applyFont="1" applyFill="1" applyBorder="1" applyAlignment="1">
      <alignment horizontal="center"/>
    </xf>
    <xf numFmtId="9" fontId="14" fillId="6" borderId="142" xfId="0" applyNumberFormat="1" applyFont="1" applyFill="1" applyBorder="1" applyAlignment="1" applyProtection="1">
      <alignment horizontal="center" vertical="center"/>
      <protection locked="0"/>
    </xf>
    <xf numFmtId="9" fontId="14" fillId="6" borderId="144" xfId="0" applyNumberFormat="1" applyFont="1" applyFill="1" applyBorder="1" applyAlignment="1" applyProtection="1">
      <alignment horizontal="center" vertical="center"/>
      <protection locked="0"/>
    </xf>
    <xf numFmtId="0" fontId="0" fillId="4" borderId="9" xfId="0" applyFont="1" applyFill="1" applyBorder="1" applyAlignment="1">
      <alignment horizontal="center"/>
    </xf>
    <xf numFmtId="0" fontId="0" fillId="4" borderId="234" xfId="0" applyFont="1" applyFill="1" applyBorder="1" applyAlignment="1">
      <alignment horizontal="center"/>
    </xf>
    <xf numFmtId="0" fontId="0" fillId="4" borderId="6" xfId="0" applyFont="1" applyFill="1" applyBorder="1" applyAlignment="1">
      <alignment horizontal="center"/>
    </xf>
    <xf numFmtId="0" fontId="0" fillId="4" borderId="167" xfId="0" applyFont="1" applyFill="1" applyBorder="1" applyAlignment="1">
      <alignment horizontal="center"/>
    </xf>
    <xf numFmtId="0" fontId="1" fillId="4" borderId="243" xfId="7" applyFont="1" applyFill="1" applyBorder="1" applyAlignment="1">
      <alignment horizontal="center"/>
    </xf>
    <xf numFmtId="0" fontId="1" fillId="4" borderId="242" xfId="7" applyFont="1" applyFill="1" applyBorder="1" applyAlignment="1">
      <alignment horizontal="center"/>
    </xf>
    <xf numFmtId="9" fontId="0" fillId="4" borderId="6" xfId="0" applyNumberFormat="1" applyFont="1" applyFill="1" applyBorder="1" applyAlignment="1">
      <alignment horizontal="center"/>
    </xf>
    <xf numFmtId="9" fontId="0" fillId="4" borderId="167" xfId="0" applyNumberFormat="1" applyFont="1" applyFill="1" applyBorder="1" applyAlignment="1">
      <alignment horizontal="center"/>
    </xf>
    <xf numFmtId="0" fontId="0" fillId="4" borderId="243" xfId="0" applyFont="1" applyFill="1" applyBorder="1" applyAlignment="1">
      <alignment horizontal="center"/>
    </xf>
    <xf numFmtId="0" fontId="0" fillId="4" borderId="242" xfId="0" applyFont="1" applyFill="1" applyBorder="1" applyAlignment="1">
      <alignment horizontal="center"/>
    </xf>
    <xf numFmtId="0" fontId="0" fillId="0" borderId="6" xfId="0" applyFont="1" applyFill="1" applyBorder="1" applyAlignment="1">
      <alignment horizontal="center"/>
    </xf>
    <xf numFmtId="0" fontId="0" fillId="0" borderId="167" xfId="0" applyFont="1" applyFill="1" applyBorder="1" applyAlignment="1">
      <alignment horizontal="center"/>
    </xf>
    <xf numFmtId="0" fontId="0" fillId="29" borderId="9" xfId="0" applyFont="1" applyFill="1" applyBorder="1" applyAlignment="1">
      <alignment horizontal="center"/>
    </xf>
    <xf numFmtId="0" fontId="0" fillId="29" borderId="234" xfId="0" applyFont="1" applyFill="1" applyBorder="1" applyAlignment="1">
      <alignment horizontal="center"/>
    </xf>
    <xf numFmtId="0" fontId="0" fillId="7" borderId="246" xfId="0" applyFont="1" applyFill="1" applyBorder="1" applyAlignment="1">
      <alignment horizontal="center"/>
    </xf>
    <xf numFmtId="0" fontId="0" fillId="7" borderId="240" xfId="0" applyFont="1" applyFill="1" applyBorder="1" applyAlignment="1">
      <alignment horizontal="center"/>
    </xf>
    <xf numFmtId="0" fontId="0" fillId="29" borderId="246" xfId="0" applyFont="1" applyFill="1" applyBorder="1" applyAlignment="1">
      <alignment horizontal="center"/>
    </xf>
    <xf numFmtId="0" fontId="0" fillId="29" borderId="240" xfId="0" applyFont="1" applyFill="1" applyBorder="1" applyAlignment="1">
      <alignment horizontal="center"/>
    </xf>
    <xf numFmtId="0" fontId="0" fillId="4" borderId="11" xfId="0" applyFont="1" applyFill="1" applyBorder="1" applyAlignment="1">
      <alignment horizontal="center"/>
    </xf>
    <xf numFmtId="0" fontId="0" fillId="4" borderId="233" xfId="0" applyFont="1" applyFill="1" applyBorder="1" applyAlignment="1">
      <alignment horizontal="center"/>
    </xf>
    <xf numFmtId="0" fontId="5" fillId="4" borderId="6" xfId="7" applyFont="1" applyFill="1" applyBorder="1" applyAlignment="1">
      <alignment horizontal="center"/>
    </xf>
    <xf numFmtId="0" fontId="5" fillId="4" borderId="167" xfId="7" applyFont="1" applyFill="1" applyBorder="1" applyAlignment="1">
      <alignment horizontal="center"/>
    </xf>
    <xf numFmtId="0" fontId="1" fillId="4" borderId="207" xfId="7" applyFont="1" applyFill="1" applyBorder="1" applyAlignment="1">
      <alignment horizontal="center"/>
    </xf>
    <xf numFmtId="0" fontId="1" fillId="4" borderId="172" xfId="7" applyFont="1" applyFill="1" applyBorder="1" applyAlignment="1">
      <alignment horizontal="center"/>
    </xf>
    <xf numFmtId="0" fontId="1" fillId="4" borderId="6" xfId="7" applyFont="1" applyFill="1" applyBorder="1" applyAlignment="1">
      <alignment horizontal="center"/>
    </xf>
    <xf numFmtId="0" fontId="1" fillId="4" borderId="167" xfId="7" applyFont="1" applyFill="1" applyBorder="1" applyAlignment="1">
      <alignment horizontal="center"/>
    </xf>
    <xf numFmtId="0" fontId="3" fillId="5" borderId="238" xfId="0" applyFont="1" applyFill="1" applyBorder="1" applyAlignment="1">
      <alignment horizontal="center"/>
    </xf>
    <xf numFmtId="0" fontId="3" fillId="5" borderId="239" xfId="0" applyFont="1" applyFill="1" applyBorder="1" applyAlignment="1">
      <alignment horizontal="center"/>
    </xf>
    <xf numFmtId="0" fontId="5" fillId="4" borderId="6" xfId="7" applyFont="1" applyFill="1" applyBorder="1" applyAlignment="1">
      <alignment horizontal="center" wrapText="1"/>
    </xf>
    <xf numFmtId="0" fontId="5" fillId="4" borderId="167" xfId="7" applyFont="1" applyFill="1" applyBorder="1" applyAlignment="1">
      <alignment horizontal="center" wrapText="1"/>
    </xf>
    <xf numFmtId="0" fontId="80" fillId="20" borderId="209" xfId="0" applyFont="1" applyFill="1" applyBorder="1" applyAlignment="1">
      <alignment horizontal="center" vertical="center"/>
    </xf>
    <xf numFmtId="0" fontId="80" fillId="20" borderId="210" xfId="0" applyFont="1" applyFill="1" applyBorder="1" applyAlignment="1">
      <alignment horizontal="center" vertical="center"/>
    </xf>
    <xf numFmtId="0" fontId="80" fillId="20" borderId="211" xfId="0" applyFont="1" applyFill="1" applyBorder="1" applyAlignment="1">
      <alignment horizontal="center" vertical="center"/>
    </xf>
    <xf numFmtId="0" fontId="0" fillId="0" borderId="13" xfId="0" applyFont="1" applyFill="1" applyBorder="1" applyAlignment="1">
      <alignment horizontal="center"/>
    </xf>
    <xf numFmtId="0" fontId="0" fillId="0" borderId="162" xfId="0" applyFont="1" applyFill="1" applyBorder="1" applyAlignment="1">
      <alignment horizontal="center"/>
    </xf>
    <xf numFmtId="0" fontId="0" fillId="4" borderId="34" xfId="0" applyFont="1" applyFill="1" applyBorder="1" applyAlignment="1">
      <alignment horizontal="center"/>
    </xf>
    <xf numFmtId="0" fontId="0" fillId="4" borderId="203" xfId="0" applyFont="1" applyFill="1" applyBorder="1" applyAlignment="1">
      <alignment horizontal="center"/>
    </xf>
    <xf numFmtId="0" fontId="1" fillId="4" borderId="6" xfId="7" applyFont="1" applyFill="1" applyBorder="1" applyAlignment="1">
      <alignment horizontal="center" wrapText="1"/>
    </xf>
    <xf numFmtId="0" fontId="1" fillId="4" borderId="167" xfId="7" applyFont="1" applyFill="1" applyBorder="1" applyAlignment="1">
      <alignment horizontal="center" wrapText="1"/>
    </xf>
    <xf numFmtId="0" fontId="3" fillId="5" borderId="92" xfId="0" applyFont="1" applyFill="1" applyBorder="1" applyAlignment="1">
      <alignment horizontal="center"/>
    </xf>
    <xf numFmtId="0" fontId="3" fillId="5" borderId="237" xfId="0" applyFont="1" applyFill="1" applyBorder="1" applyAlignment="1">
      <alignment horizontal="center"/>
    </xf>
    <xf numFmtId="0" fontId="0" fillId="0" borderId="9" xfId="0" applyFont="1" applyFill="1" applyBorder="1" applyAlignment="1">
      <alignment horizontal="center"/>
    </xf>
    <xf numFmtId="0" fontId="0" fillId="0" borderId="234" xfId="0" applyFont="1" applyFill="1" applyBorder="1" applyAlignment="1">
      <alignment horizontal="center"/>
    </xf>
    <xf numFmtId="0" fontId="0" fillId="0" borderId="84" xfId="0" applyFont="1" applyFill="1" applyBorder="1" applyAlignment="1">
      <alignment horizontal="center"/>
    </xf>
    <xf numFmtId="0" fontId="0" fillId="0" borderId="206" xfId="0" applyFont="1" applyFill="1" applyBorder="1" applyAlignment="1">
      <alignment horizontal="center"/>
    </xf>
    <xf numFmtId="0" fontId="1" fillId="4" borderId="207" xfId="7" applyFont="1" applyFill="1" applyBorder="1" applyAlignment="1">
      <alignment horizontal="center" wrapText="1"/>
    </xf>
    <xf numFmtId="0" fontId="1" fillId="4" borderId="172" xfId="7" applyFont="1" applyFill="1" applyBorder="1" applyAlignment="1">
      <alignment horizontal="center" wrapText="1"/>
    </xf>
    <xf numFmtId="0" fontId="6" fillId="8" borderId="159" xfId="0" applyFont="1" applyFill="1" applyBorder="1" applyAlignment="1">
      <alignment horizontal="left"/>
    </xf>
    <xf numFmtId="0" fontId="6" fillId="8" borderId="160" xfId="0" applyFont="1" applyFill="1" applyBorder="1" applyAlignment="1">
      <alignment horizontal="left"/>
    </xf>
    <xf numFmtId="0" fontId="74" fillId="8" borderId="209" xfId="0" applyFont="1" applyFill="1" applyBorder="1" applyAlignment="1">
      <alignment horizontal="center" vertical="center"/>
    </xf>
    <xf numFmtId="0" fontId="74" fillId="8" borderId="210" xfId="0" applyFont="1" applyFill="1" applyBorder="1" applyAlignment="1">
      <alignment horizontal="center" vertical="center"/>
    </xf>
    <xf numFmtId="0" fontId="74" fillId="8" borderId="211" xfId="0" applyFont="1" applyFill="1" applyBorder="1" applyAlignment="1">
      <alignment horizontal="center" vertical="center"/>
    </xf>
    <xf numFmtId="0" fontId="61" fillId="0" borderId="0" xfId="5" applyFont="1" applyAlignment="1" applyProtection="1">
      <alignment horizontal="center"/>
    </xf>
    <xf numFmtId="0" fontId="62" fillId="24" borderId="69" xfId="5" applyFont="1" applyFill="1" applyBorder="1" applyAlignment="1" applyProtection="1">
      <alignment horizontal="center"/>
      <protection locked="0"/>
    </xf>
    <xf numFmtId="0" fontId="62" fillId="24" borderId="184" xfId="5" applyFont="1" applyFill="1" applyBorder="1" applyAlignment="1" applyProtection="1">
      <alignment horizontal="center"/>
      <protection locked="0"/>
    </xf>
    <xf numFmtId="0" fontId="62" fillId="24" borderId="70" xfId="5" applyFont="1" applyFill="1" applyBorder="1" applyAlignment="1" applyProtection="1">
      <alignment horizontal="center"/>
      <protection locked="0"/>
    </xf>
    <xf numFmtId="0" fontId="1" fillId="0" borderId="0" xfId="12" applyAlignment="1">
      <alignment horizontal="center"/>
    </xf>
    <xf numFmtId="0" fontId="48" fillId="11" borderId="158" xfId="5" applyFont="1" applyFill="1" applyBorder="1" applyAlignment="1">
      <alignment horizontal="center" vertical="center"/>
    </xf>
    <xf numFmtId="0" fontId="48" fillId="11" borderId="148" xfId="5" applyFont="1" applyFill="1" applyBorder="1" applyAlignment="1">
      <alignment horizontal="center" vertical="center"/>
    </xf>
    <xf numFmtId="0" fontId="48" fillId="11" borderId="120" xfId="0" applyFont="1" applyFill="1" applyBorder="1" applyAlignment="1">
      <alignment horizontal="center" vertical="center" wrapText="1"/>
    </xf>
    <xf numFmtId="0" fontId="48" fillId="11" borderId="121" xfId="0" applyFont="1" applyFill="1" applyBorder="1" applyAlignment="1">
      <alignment horizontal="center" vertical="center" wrapText="1"/>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5" fillId="12" borderId="0" xfId="0" applyFont="1" applyFill="1" applyAlignment="1">
      <alignment horizontal="left"/>
    </xf>
    <xf numFmtId="0" fontId="5" fillId="0" borderId="0" xfId="0" applyFont="1" applyAlignment="1">
      <alignment horizontal="left"/>
    </xf>
    <xf numFmtId="0" fontId="33" fillId="13" borderId="53" xfId="8" applyFont="1" applyFill="1" applyBorder="1" applyAlignment="1" applyProtection="1">
      <alignment horizontal="left" vertical="top" wrapText="1"/>
    </xf>
    <xf numFmtId="0" fontId="33" fillId="13" borderId="54" xfId="8" applyFont="1" applyFill="1" applyBorder="1" applyAlignment="1" applyProtection="1">
      <alignment horizontal="left" vertical="top" wrapText="1"/>
    </xf>
    <xf numFmtId="0" fontId="29" fillId="13" borderId="0" xfId="8" applyFont="1" applyFill="1" applyAlignment="1" applyProtection="1">
      <alignment horizontal="left"/>
    </xf>
    <xf numFmtId="0" fontId="29"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33" fillId="16" borderId="53" xfId="8" applyFont="1" applyFill="1" applyBorder="1" applyAlignment="1" applyProtection="1">
      <alignment horizontal="center" vertical="top" wrapText="1"/>
      <protection locked="0"/>
    </xf>
    <xf numFmtId="0" fontId="33" fillId="16" borderId="54" xfId="8" applyFont="1" applyFill="1" applyBorder="1" applyAlignment="1" applyProtection="1">
      <alignment horizontal="center" vertical="top" wrapText="1"/>
      <protection locked="0"/>
    </xf>
    <xf numFmtId="0" fontId="29" fillId="14" borderId="0" xfId="8" applyFont="1" applyFill="1" applyBorder="1" applyAlignment="1" applyProtection="1">
      <alignment horizontal="left" wrapText="1"/>
    </xf>
    <xf numFmtId="0" fontId="34" fillId="16" borderId="0" xfId="0" applyFont="1" applyFill="1" applyAlignment="1" applyProtection="1">
      <alignment horizontal="left" wrapText="1"/>
    </xf>
    <xf numFmtId="0" fontId="33" fillId="16" borderId="57" xfId="8" applyFont="1" applyFill="1" applyBorder="1" applyAlignment="1" applyProtection="1">
      <alignment horizontal="center" vertical="center" textRotation="90"/>
    </xf>
    <xf numFmtId="0" fontId="33" fillId="16" borderId="60" xfId="8" applyFont="1" applyFill="1" applyBorder="1" applyAlignment="1" applyProtection="1">
      <alignment horizontal="center" vertical="center" textRotation="90"/>
    </xf>
    <xf numFmtId="0" fontId="33" fillId="16" borderId="63" xfId="8" applyFont="1" applyFill="1" applyBorder="1" applyAlignment="1" applyProtection="1">
      <alignment horizontal="center" vertical="center" textRotation="90"/>
    </xf>
    <xf numFmtId="0" fontId="33"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85" fillId="32" borderId="193" xfId="0" applyFont="1" applyFill="1" applyBorder="1" applyAlignment="1">
      <alignment horizontal="center" vertical="center"/>
    </xf>
    <xf numFmtId="0" fontId="85" fillId="32" borderId="195" xfId="0" applyFont="1" applyFill="1" applyBorder="1" applyAlignment="1">
      <alignment horizontal="center" vertical="center"/>
    </xf>
    <xf numFmtId="0" fontId="85" fillId="32" borderId="253" xfId="0" applyFont="1" applyFill="1" applyBorder="1" applyAlignment="1">
      <alignment horizontal="center" vertical="center"/>
    </xf>
    <xf numFmtId="0" fontId="82" fillId="30" borderId="0" xfId="0" applyFont="1" applyFill="1" applyAlignment="1">
      <alignment horizontal="center" vertical="center"/>
    </xf>
    <xf numFmtId="49" fontId="35" fillId="0" borderId="193" xfId="0" applyNumberFormat="1" applyFont="1" applyBorder="1" applyAlignment="1">
      <alignment horizontal="left"/>
    </xf>
    <xf numFmtId="49" fontId="35" fillId="0" borderId="195" xfId="0" applyNumberFormat="1" applyFont="1" applyBorder="1" applyAlignment="1">
      <alignment horizontal="left"/>
    </xf>
    <xf numFmtId="49" fontId="35" fillId="0" borderId="194" xfId="0" applyNumberFormat="1" applyFont="1" applyBorder="1" applyAlignment="1">
      <alignment horizontal="left"/>
    </xf>
    <xf numFmtId="14" fontId="35" fillId="0" borderId="193" xfId="0" applyNumberFormat="1" applyFont="1" applyBorder="1" applyAlignment="1">
      <alignment horizontal="left"/>
    </xf>
    <xf numFmtId="14" fontId="35" fillId="0" borderId="195" xfId="0" applyNumberFormat="1" applyFont="1" applyBorder="1" applyAlignment="1">
      <alignment horizontal="left"/>
    </xf>
    <xf numFmtId="14" fontId="35" fillId="0" borderId="194" xfId="0" applyNumberFormat="1" applyFont="1" applyBorder="1" applyAlignment="1">
      <alignment horizontal="left"/>
    </xf>
    <xf numFmtId="9" fontId="83" fillId="31" borderId="193" xfId="2" applyFont="1" applyFill="1" applyBorder="1" applyAlignment="1">
      <alignment horizontal="left" vertical="center"/>
    </xf>
    <xf numFmtId="9" fontId="83" fillId="31" borderId="195" xfId="2" applyFont="1" applyFill="1" applyBorder="1" applyAlignment="1">
      <alignment horizontal="left" vertical="center"/>
    </xf>
    <xf numFmtId="9" fontId="83" fillId="31" borderId="194" xfId="2" applyFont="1" applyFill="1" applyBorder="1" applyAlignment="1">
      <alignment horizontal="left" vertical="center"/>
    </xf>
    <xf numFmtId="0" fontId="84" fillId="30" borderId="69" xfId="0" applyFont="1" applyFill="1" applyBorder="1" applyAlignment="1">
      <alignment horizontal="center" vertical="center"/>
    </xf>
    <xf numFmtId="0" fontId="84" fillId="30" borderId="184" xfId="0" applyFont="1" applyFill="1" applyBorder="1" applyAlignment="1">
      <alignment horizontal="center" vertical="center"/>
    </xf>
    <xf numFmtId="0" fontId="84" fillId="30" borderId="249" xfId="0" applyFont="1" applyFill="1" applyBorder="1" applyAlignment="1">
      <alignment horizontal="center" vertical="center"/>
    </xf>
    <xf numFmtId="0" fontId="84" fillId="30" borderId="70" xfId="0" applyFont="1" applyFill="1" applyBorder="1" applyAlignment="1">
      <alignment horizontal="center" vertical="center"/>
    </xf>
    <xf numFmtId="0" fontId="34" fillId="0" borderId="257" xfId="0" applyFont="1" applyBorder="1" applyAlignment="1">
      <alignment horizontal="left" vertical="center"/>
    </xf>
    <xf numFmtId="0" fontId="34" fillId="0" borderId="258" xfId="0" applyFont="1" applyBorder="1" applyAlignment="1">
      <alignment horizontal="left" vertical="center"/>
    </xf>
    <xf numFmtId="0" fontId="34" fillId="0" borderId="259" xfId="0" applyFont="1" applyBorder="1" applyAlignment="1">
      <alignment horizontal="left" vertical="center"/>
    </xf>
    <xf numFmtId="0" fontId="34" fillId="0" borderId="260" xfId="0" applyFont="1" applyBorder="1" applyAlignment="1">
      <alignment horizontal="left" vertical="center"/>
    </xf>
    <xf numFmtId="0" fontId="34" fillId="0" borderId="261" xfId="0" applyFont="1" applyBorder="1" applyAlignment="1">
      <alignment horizontal="left" vertical="center"/>
    </xf>
    <xf numFmtId="0" fontId="34" fillId="0" borderId="262"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3">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EEECE1"/>
      <color rgb="FFFFFF99"/>
      <color rgb="FF8CADD4"/>
      <color rgb="FFDFDCC7"/>
      <color rgb="FFF6F5F0"/>
      <color rgb="FFECF1F8"/>
      <color rgb="FFD5E1EF"/>
      <color rgb="FF366092"/>
      <color rgb="FFC5D9F1"/>
      <color rgb="FF4E81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2.xml"/><Relationship Id="rId21" Type="http://schemas.openxmlformats.org/officeDocument/2006/relationships/externalLink" Target="externalLinks/externalLink3.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zgnssas/AppData/Local/Microsoft/Windows/Temporary%20Internet%20Files/Content.Outlook/GN6VPJLC/Optimizer%202018%20T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W"/>
      <sheetName val="INTAKE"/>
      <sheetName val="SIC Look Up"/>
      <sheetName val="EXHIBIT"/>
      <sheetName val="RB RATES"/>
      <sheetName val="PLANS"/>
      <sheetName val="DENTAL INTAKE"/>
      <sheetName val="CALC"/>
      <sheetName val="PART ADJ"/>
      <sheetName val="PART ADJ 2"/>
      <sheetName val="CODE"/>
      <sheetName val="ANCILLARY EXHIBIT"/>
      <sheetName val="PROPOSAL"/>
      <sheetName val="ABF"/>
      <sheetName val="AHM"/>
      <sheetName val="CONTACTS"/>
    </sheetNames>
    <sheetDataSet>
      <sheetData sheetId="0"/>
      <sheetData sheetId="1"/>
      <sheetData sheetId="2"/>
      <sheetData sheetId="3"/>
      <sheetData sheetId="4"/>
      <sheetData sheetId="5">
        <row r="1">
          <cell r="A1" t="str">
            <v>PLAN CODE</v>
          </cell>
          <cell r="B1" t="str">
            <v>2018 PLAN NAME</v>
          </cell>
          <cell r="C1" t="str">
            <v>Cal Yr Ded</v>
          </cell>
          <cell r="D1" t="str">
            <v>ANNUAL OOP MAX</v>
          </cell>
          <cell r="E1" t="str">
            <v>OFFICE VISIT PCP/SP</v>
          </cell>
          <cell r="F1" t="str">
            <v>HOSPITAL IN</v>
          </cell>
          <cell r="G1" t="str">
            <v>HOSPITAL OUT</v>
          </cell>
          <cell r="H1" t="str">
            <v>RX</v>
          </cell>
        </row>
        <row r="2">
          <cell r="B2" t="str">
            <v>PREMIER HMO</v>
          </cell>
        </row>
        <row r="3">
          <cell r="A3" t="str">
            <v>HMOP1</v>
          </cell>
          <cell r="B3" t="str">
            <v>Premier HMO 10/100%</v>
          </cell>
          <cell r="C3">
            <v>0</v>
          </cell>
          <cell r="D3" t="str">
            <v>$1500/$3000</v>
          </cell>
          <cell r="E3">
            <v>10</v>
          </cell>
          <cell r="F3" t="str">
            <v>No Copay</v>
          </cell>
          <cell r="G3" t="str">
            <v>No Copay</v>
          </cell>
          <cell r="H3" t="str">
            <v xml:space="preserve">$5/$15/$25/$45/30% Essential </v>
          </cell>
        </row>
        <row r="4">
          <cell r="A4" t="str">
            <v>HMOP2</v>
          </cell>
          <cell r="B4" t="str">
            <v>Premier HMO 15/100%</v>
          </cell>
          <cell r="C4">
            <v>0</v>
          </cell>
          <cell r="D4" t="str">
            <v>$1500/$3000</v>
          </cell>
          <cell r="E4">
            <v>15</v>
          </cell>
          <cell r="F4" t="str">
            <v>No Copay</v>
          </cell>
          <cell r="G4" t="str">
            <v>No Copay</v>
          </cell>
          <cell r="H4" t="str">
            <v xml:space="preserve">$5/$15/$25/$45/30% Essential </v>
          </cell>
        </row>
        <row r="5">
          <cell r="A5" t="str">
            <v>HMOP3</v>
          </cell>
          <cell r="B5" t="str">
            <v>Premier HMO 20/100%</v>
          </cell>
          <cell r="C5">
            <v>0</v>
          </cell>
          <cell r="D5" t="str">
            <v>$1500/$3000</v>
          </cell>
          <cell r="E5">
            <v>20</v>
          </cell>
          <cell r="F5" t="str">
            <v>No Copay</v>
          </cell>
          <cell r="G5" t="str">
            <v>No Copay</v>
          </cell>
          <cell r="H5" t="str">
            <v xml:space="preserve">$5/$15/$25/$45/30% Essential </v>
          </cell>
        </row>
        <row r="6">
          <cell r="A6" t="str">
            <v>HMOP4</v>
          </cell>
          <cell r="B6" t="str">
            <v>Premier HMO 30/100%</v>
          </cell>
          <cell r="C6">
            <v>0</v>
          </cell>
          <cell r="D6" t="str">
            <v>$1500/$3000</v>
          </cell>
          <cell r="E6">
            <v>30</v>
          </cell>
          <cell r="F6" t="str">
            <v>No Copay</v>
          </cell>
          <cell r="G6" t="str">
            <v>No Copay</v>
          </cell>
          <cell r="H6" t="str">
            <v xml:space="preserve">$5/$15/$25/$45/30% Essential </v>
          </cell>
        </row>
        <row r="7">
          <cell r="B7" t="str">
            <v>CLASSIC HMO - Traditional Select HMO Select Plus HMO and Priority Select HMO Networks</v>
          </cell>
          <cell r="D7" t="str">
            <v/>
          </cell>
          <cell r="F7" t="str">
            <v/>
          </cell>
          <cell r="G7" t="str">
            <v/>
          </cell>
          <cell r="H7" t="str">
            <v/>
          </cell>
        </row>
        <row r="8">
          <cell r="A8" t="str">
            <v>HMOC1</v>
          </cell>
          <cell r="B8" t="str">
            <v>Classic HMO 10/30/250 admit/125 OP</v>
          </cell>
          <cell r="C8">
            <v>0</v>
          </cell>
          <cell r="D8" t="str">
            <v>$2000/$4000</v>
          </cell>
          <cell r="E8" t="str">
            <v>$10/$30</v>
          </cell>
          <cell r="F8" t="str">
            <v>$250 per Admit</v>
          </cell>
          <cell r="G8" t="str">
            <v>$125 per Admit</v>
          </cell>
          <cell r="H8" t="str">
            <v xml:space="preserve">$5/$15/$30/$50/30% Essential </v>
          </cell>
        </row>
        <row r="9">
          <cell r="A9" t="str">
            <v>HMOC2</v>
          </cell>
          <cell r="B9" t="str">
            <v>Classic HMO 20/40/250 admit/125 OP</v>
          </cell>
          <cell r="C9">
            <v>0</v>
          </cell>
          <cell r="D9" t="str">
            <v>$2000/$4000</v>
          </cell>
          <cell r="E9" t="str">
            <v>$20/$40</v>
          </cell>
          <cell r="F9" t="str">
            <v>$250 per Admit</v>
          </cell>
          <cell r="G9" t="str">
            <v>$125 per Admit</v>
          </cell>
          <cell r="H9" t="str">
            <v xml:space="preserve">$5/$15/$30/$50/30% Essential </v>
          </cell>
        </row>
        <row r="10">
          <cell r="A10" t="str">
            <v>HMOC3</v>
          </cell>
          <cell r="B10" t="str">
            <v>Classic HMO 30/40/500 admit/250 OP</v>
          </cell>
          <cell r="C10">
            <v>0</v>
          </cell>
          <cell r="D10" t="str">
            <v>$2500/$5000</v>
          </cell>
          <cell r="E10" t="str">
            <v>$30/$40</v>
          </cell>
          <cell r="F10" t="str">
            <v>$500 per Admit</v>
          </cell>
          <cell r="G10" t="str">
            <v>$250 per Admit</v>
          </cell>
          <cell r="H10" t="str">
            <v xml:space="preserve">$5/$15/$30/$50/30% Essential </v>
          </cell>
        </row>
        <row r="11">
          <cell r="A11" t="str">
            <v>HMOC4</v>
          </cell>
          <cell r="B11" t="str">
            <v>Classic HMO 35/45/750 admit/375 OP</v>
          </cell>
          <cell r="C11">
            <v>0</v>
          </cell>
          <cell r="D11" t="str">
            <v>$2500/$5000</v>
          </cell>
          <cell r="E11" t="str">
            <v>$35/$45</v>
          </cell>
          <cell r="F11" t="str">
            <v>$750 per Admit</v>
          </cell>
          <cell r="G11" t="str">
            <v>$375 per Admit</v>
          </cell>
          <cell r="H11" t="str">
            <v xml:space="preserve">$5/$15/$30/$50/30% Essential </v>
          </cell>
        </row>
        <row r="12">
          <cell r="B12" t="str">
            <v>VALUE HMO COPAY -  Traditional Select HMO Select Plus HMO and Priority Select HMO Networks</v>
          </cell>
          <cell r="D12" t="str">
            <v/>
          </cell>
          <cell r="F12" t="str">
            <v/>
          </cell>
          <cell r="G12" t="str">
            <v/>
          </cell>
          <cell r="H12" t="str">
            <v/>
          </cell>
        </row>
        <row r="13">
          <cell r="A13" t="str">
            <v>HMOV1</v>
          </cell>
          <cell r="B13" t="str">
            <v>Value HMO 20/40/250/3 day</v>
          </cell>
          <cell r="C13">
            <v>0</v>
          </cell>
          <cell r="D13" t="str">
            <v>$2500/$5000</v>
          </cell>
          <cell r="E13" t="str">
            <v>$20/$40</v>
          </cell>
          <cell r="F13" t="str">
            <v>$250 per day 3 day max</v>
          </cell>
          <cell r="G13" t="str">
            <v>$125 per Admit</v>
          </cell>
          <cell r="H13" t="str">
            <v xml:space="preserve">$5/$20/$30/$50/30% Essential </v>
          </cell>
        </row>
        <row r="14">
          <cell r="A14" t="str">
            <v>HMOV2</v>
          </cell>
          <cell r="B14" t="str">
            <v>Value HMO 20/40/250/3 day/20%</v>
          </cell>
          <cell r="C14">
            <v>0</v>
          </cell>
          <cell r="D14" t="str">
            <v>$3000/$6000</v>
          </cell>
          <cell r="E14" t="str">
            <v>$20/$40</v>
          </cell>
          <cell r="F14" t="str">
            <v>$250 per day 3 day max</v>
          </cell>
          <cell r="G14" t="str">
            <v>20% per Admit</v>
          </cell>
          <cell r="H14" t="str">
            <v xml:space="preserve">$5/$20/$30/$50/30% Essential </v>
          </cell>
        </row>
        <row r="15">
          <cell r="A15" t="str">
            <v>HMOV3</v>
          </cell>
          <cell r="B15" t="str">
            <v>Value HMO 30/40/500/3 day</v>
          </cell>
          <cell r="C15">
            <v>0</v>
          </cell>
          <cell r="D15" t="str">
            <v>$3000/$6000</v>
          </cell>
          <cell r="E15" t="str">
            <v>$30/$40</v>
          </cell>
          <cell r="F15" t="str">
            <v>$500 per day 3 day max</v>
          </cell>
          <cell r="G15" t="str">
            <v>$250 per Admit</v>
          </cell>
          <cell r="H15" t="str">
            <v xml:space="preserve">$5/$20/$30/$50/30% Essential </v>
          </cell>
        </row>
        <row r="16">
          <cell r="A16" t="str">
            <v>HMOV4</v>
          </cell>
          <cell r="B16" t="str">
            <v>Value HMO 30/40/500/3 day/20%</v>
          </cell>
          <cell r="C16">
            <v>0</v>
          </cell>
          <cell r="D16" t="str">
            <v>$3000/$6000</v>
          </cell>
          <cell r="E16" t="str">
            <v>$30/$40</v>
          </cell>
          <cell r="F16" t="str">
            <v>$500 per day 3 day max</v>
          </cell>
          <cell r="G16" t="str">
            <v>20% per Admit</v>
          </cell>
          <cell r="H16" t="str">
            <v xml:space="preserve">$5/$20/$30/$50/30% Essential </v>
          </cell>
        </row>
        <row r="17">
          <cell r="A17" t="str">
            <v>HMOV5</v>
          </cell>
          <cell r="B17" t="str">
            <v>Value HMO 35/45/750/3 day</v>
          </cell>
          <cell r="C17">
            <v>0</v>
          </cell>
          <cell r="D17" t="str">
            <v>$3500/$7000</v>
          </cell>
          <cell r="E17" t="str">
            <v>$35/$45</v>
          </cell>
          <cell r="F17" t="str">
            <v>$750 per day 3 day max</v>
          </cell>
          <cell r="G17" t="str">
            <v>$375 per Admit</v>
          </cell>
          <cell r="H17" t="str">
            <v>$5/$20/$30/$50/30% $150 Ded. Essential</v>
          </cell>
        </row>
        <row r="18">
          <cell r="B18" t="str">
            <v>VALUE HMO COINSURANCE - Traditional Select HMO Select Plus HMO and Priority Select HMO Networks</v>
          </cell>
        </row>
        <row r="19">
          <cell r="A19" t="str">
            <v>HMOVC1</v>
          </cell>
          <cell r="B19" t="str">
            <v>Value HMO 20/30/20%</v>
          </cell>
          <cell r="C19">
            <v>0</v>
          </cell>
          <cell r="D19" t="str">
            <v>$3500/$7000</v>
          </cell>
          <cell r="E19" t="str">
            <v>$20/$30</v>
          </cell>
          <cell r="F19" t="str">
            <v>20% per admit</v>
          </cell>
          <cell r="G19" t="str">
            <v>20% of charges</v>
          </cell>
          <cell r="H19" t="str">
            <v xml:space="preserve">$5/$20/$40/$60/30% Essential </v>
          </cell>
        </row>
        <row r="20">
          <cell r="A20" t="str">
            <v>HMOVC2</v>
          </cell>
          <cell r="B20" t="str">
            <v>Value HMO 30/40/30%</v>
          </cell>
          <cell r="C20">
            <v>0</v>
          </cell>
          <cell r="D20" t="str">
            <v>$5000/$10000</v>
          </cell>
          <cell r="E20" t="str">
            <v>$30/$40</v>
          </cell>
          <cell r="F20" t="str">
            <v>30% per admit</v>
          </cell>
          <cell r="G20" t="str">
            <v>30% of charges</v>
          </cell>
          <cell r="H20" t="str">
            <v xml:space="preserve">$5/$20/$40/$60/30% $150 Ded. Essential </v>
          </cell>
        </row>
        <row r="21">
          <cell r="B21" t="str">
            <v>VALUE HMO DEDUCTIBLE  - Traditional Select HMO Select Plus HMO and Priority Select HMO Networks</v>
          </cell>
        </row>
        <row r="22">
          <cell r="A22" t="str">
            <v>HMOVD1</v>
          </cell>
          <cell r="B22" t="str">
            <v>Value Deductible HMO 250 20/40/10%</v>
          </cell>
          <cell r="C22">
            <v>250</v>
          </cell>
          <cell r="D22" t="str">
            <v>$3000/$6000</v>
          </cell>
          <cell r="E22" t="str">
            <v>$20/$40</v>
          </cell>
          <cell r="F22" t="str">
            <v>Ded. then 10% of charges</v>
          </cell>
          <cell r="G22" t="str">
            <v>Ded. then 10% of charges</v>
          </cell>
          <cell r="H22" t="str">
            <v xml:space="preserve">$5/$20/$40/$75/30% Essential </v>
          </cell>
        </row>
        <row r="23">
          <cell r="A23" t="str">
            <v>HMOVD2</v>
          </cell>
          <cell r="B23" t="str">
            <v>Value Deductible HMO 500 20/40/20%</v>
          </cell>
          <cell r="C23">
            <v>500</v>
          </cell>
          <cell r="D23" t="str">
            <v>$3000/$6000</v>
          </cell>
          <cell r="E23" t="str">
            <v>$20/$40</v>
          </cell>
          <cell r="F23" t="str">
            <v>Ded. then 20% of charges</v>
          </cell>
          <cell r="G23" t="str">
            <v>Ded. then 20% of charges</v>
          </cell>
          <cell r="H23" t="str">
            <v xml:space="preserve">$5/$20/$40/$75/30% Essential </v>
          </cell>
        </row>
        <row r="24">
          <cell r="A24" t="str">
            <v>HMOVD3</v>
          </cell>
          <cell r="B24" t="str">
            <v>Value Deductible HMO 750 25/45/25%</v>
          </cell>
          <cell r="C24">
            <v>750</v>
          </cell>
          <cell r="D24" t="str">
            <v>$3000/$6000</v>
          </cell>
          <cell r="E24" t="str">
            <v>$25/$45</v>
          </cell>
          <cell r="F24" t="str">
            <v>Ded. then 25% of charges</v>
          </cell>
          <cell r="G24" t="str">
            <v>Ded. then 25% of charges</v>
          </cell>
          <cell r="H24" t="str">
            <v xml:space="preserve">$5/$20/$40/$75/30% Essential </v>
          </cell>
        </row>
        <row r="25">
          <cell r="A25" t="str">
            <v>HMOVD4</v>
          </cell>
          <cell r="B25" t="str">
            <v>Value Deductible HMO $1,500 25/40/25%</v>
          </cell>
          <cell r="C25">
            <v>1500</v>
          </cell>
          <cell r="D25" t="str">
            <v>$3500/$7000</v>
          </cell>
          <cell r="E25" t="str">
            <v>$25/$40</v>
          </cell>
          <cell r="F25" t="str">
            <v>Ded. then 25% of charges</v>
          </cell>
          <cell r="G25" t="str">
            <v>Ded. then 25% of charges</v>
          </cell>
          <cell r="H25" t="str">
            <v xml:space="preserve">$5/$20/$40/$75/30% Essential </v>
          </cell>
        </row>
        <row r="26">
          <cell r="A26" t="str">
            <v>HMOVD5</v>
          </cell>
          <cell r="B26" t="str">
            <v>Value Deductible HMO $2,000 30/45/25%</v>
          </cell>
          <cell r="C26">
            <v>2000</v>
          </cell>
          <cell r="D26" t="str">
            <v>$3500/$7000</v>
          </cell>
          <cell r="E26" t="str">
            <v>$30/$45</v>
          </cell>
          <cell r="F26" t="str">
            <v>Ded. then 20% of charges</v>
          </cell>
          <cell r="G26" t="str">
            <v>Ded. then 20% of charges</v>
          </cell>
          <cell r="H26" t="str">
            <v>$5/$20/$40/$75/30% $250 Ded. Essential</v>
          </cell>
        </row>
        <row r="27">
          <cell r="B27" t="str">
            <v>HEALTHY SUPPORT HMO  - Traditional Select HMO Select Plus HMO and Priority Select HMO Networks</v>
          </cell>
          <cell r="F27" t="str">
            <v/>
          </cell>
          <cell r="G27" t="str">
            <v/>
          </cell>
          <cell r="H27" t="str">
            <v/>
          </cell>
        </row>
        <row r="28">
          <cell r="A28" t="str">
            <v>HMOHS1</v>
          </cell>
          <cell r="B28" t="str">
            <v>Healthy Support HMO 15/30/250 admit/125 OP</v>
          </cell>
          <cell r="C28">
            <v>0</v>
          </cell>
          <cell r="D28" t="str">
            <v>$2500/$5000</v>
          </cell>
          <cell r="E28" t="str">
            <v>$15/$30</v>
          </cell>
          <cell r="F28" t="str">
            <v>$250 per Admit</v>
          </cell>
          <cell r="G28" t="str">
            <v>$125 per Admit</v>
          </cell>
          <cell r="H28" t="str">
            <v xml:space="preserve">$5/$15/$50/$65/30% Essential </v>
          </cell>
        </row>
        <row r="29">
          <cell r="A29" t="str">
            <v>HMOHS2</v>
          </cell>
          <cell r="B29" t="str">
            <v>Healthy Support HMO 35/50/500/3 day/$250 OP</v>
          </cell>
          <cell r="C29">
            <v>0</v>
          </cell>
          <cell r="D29" t="str">
            <v>$4500/$9000</v>
          </cell>
          <cell r="E29" t="str">
            <v>$35/$50</v>
          </cell>
          <cell r="F29" t="str">
            <v>$500 per day 3 day max</v>
          </cell>
          <cell r="G29" t="str">
            <v>$250 per Admit</v>
          </cell>
          <cell r="H29" t="str">
            <v xml:space="preserve">$5/$15/$50/$65/30% Essential </v>
          </cell>
        </row>
        <row r="30">
          <cell r="B30" t="str">
            <v>ELEMENTS CHOICE HMO  - Traditional Select HMO Select Plus HMO and Priority Select HMO Networks</v>
          </cell>
          <cell r="D30" t="str">
            <v/>
          </cell>
          <cell r="E30" t="str">
            <v/>
          </cell>
          <cell r="F30" t="str">
            <v/>
          </cell>
          <cell r="G30" t="str">
            <v/>
          </cell>
          <cell r="H30" t="str">
            <v/>
          </cell>
        </row>
        <row r="31">
          <cell r="A31" t="str">
            <v>HMOE1</v>
          </cell>
          <cell r="B31" t="str">
            <v>Anthem Elements Choice 1500</v>
          </cell>
          <cell r="C31">
            <v>1500</v>
          </cell>
          <cell r="D31" t="str">
            <v>$6400/$12800</v>
          </cell>
          <cell r="E31" t="str">
            <v>$25/$50</v>
          </cell>
          <cell r="F31" t="str">
            <v>Ded. then 30% of charges</v>
          </cell>
          <cell r="G31" t="str">
            <v>Ded. then 30% of charges</v>
          </cell>
          <cell r="H31" t="str">
            <v>$5/$20/$50/$65/30% $500 Ded. Essential</v>
          </cell>
        </row>
        <row r="32">
          <cell r="A32" t="str">
            <v>HMOE2</v>
          </cell>
          <cell r="B32" t="str">
            <v>Anthem Elements Choice 3000</v>
          </cell>
          <cell r="C32">
            <v>3000</v>
          </cell>
          <cell r="D32" t="str">
            <v>$6400/$12800</v>
          </cell>
          <cell r="E32" t="str">
            <v>$30/$50</v>
          </cell>
          <cell r="F32" t="str">
            <v>Ded. then 20% of charges</v>
          </cell>
          <cell r="G32" t="str">
            <v>Ded. then 20% of charges</v>
          </cell>
          <cell r="H32" t="str">
            <v>$5/$20/$50/$65/30% $500 Ded. Essential</v>
          </cell>
        </row>
        <row r="33">
          <cell r="A33" t="str">
            <v>HMOE3</v>
          </cell>
          <cell r="B33" t="str">
            <v>Anthem Elements Choice 5900</v>
          </cell>
          <cell r="C33">
            <v>5900</v>
          </cell>
          <cell r="D33" t="str">
            <v>$6400/$12800</v>
          </cell>
          <cell r="E33" t="str">
            <v>$35/$70</v>
          </cell>
          <cell r="F33" t="str">
            <v>Ded. then 30% of charges</v>
          </cell>
          <cell r="G33" t="str">
            <v>Ded. then 30% of charges</v>
          </cell>
          <cell r="H33" t="str">
            <v>$5/$20/$50/$65/30% $500 Ded. Essential</v>
          </cell>
        </row>
        <row r="34">
          <cell r="B34" t="str">
            <v>ADVANTAGE HMO - Tiered Traditional and Select Plus HMO Networks</v>
          </cell>
          <cell r="F34" t="str">
            <v/>
          </cell>
          <cell r="G34" t="str">
            <v/>
          </cell>
          <cell r="H34" t="str">
            <v/>
          </cell>
        </row>
        <row r="35">
          <cell r="A35" t="str">
            <v>HMOA1</v>
          </cell>
          <cell r="B35" t="str">
            <v>Advantage HMO 20 or 40 500 3 day</v>
          </cell>
          <cell r="C35">
            <v>0</v>
          </cell>
          <cell r="D35" t="str">
            <v>$2500/$5000</v>
          </cell>
          <cell r="E35" t="str">
            <v>$20 or $40</v>
          </cell>
          <cell r="F35" t="str">
            <v>$500 per day 3 day max</v>
          </cell>
          <cell r="G35" t="str">
            <v>$250 per Admit</v>
          </cell>
          <cell r="H35" t="str">
            <v xml:space="preserve">$5/$20/$40/$60/30% Essential </v>
          </cell>
        </row>
        <row r="36">
          <cell r="A36" t="str">
            <v>HMOA2</v>
          </cell>
          <cell r="B36" t="str">
            <v>Advantage HMO 30 or 40 750 3 day</v>
          </cell>
          <cell r="C36">
            <v>0</v>
          </cell>
          <cell r="D36" t="str">
            <v>$2500/$5000</v>
          </cell>
          <cell r="E36" t="str">
            <v>$30 or $40</v>
          </cell>
          <cell r="F36" t="str">
            <v>$750 per day 3 day max</v>
          </cell>
          <cell r="G36" t="str">
            <v>$350 per Admit</v>
          </cell>
          <cell r="H36" t="str">
            <v>$5/$20/$40/$55/30% Essential</v>
          </cell>
        </row>
        <row r="37">
          <cell r="B37" t="str">
            <v>PREMIER PLUS PPO W/INFERTILITY</v>
          </cell>
          <cell r="C37" t="str">
            <v/>
          </cell>
          <cell r="D37" t="str">
            <v/>
          </cell>
          <cell r="E37" t="str">
            <v/>
          </cell>
          <cell r="F37" t="str">
            <v/>
          </cell>
          <cell r="G37" t="str">
            <v/>
          </cell>
          <cell r="H37" t="str">
            <v/>
          </cell>
        </row>
        <row r="38">
          <cell r="A38" t="str">
            <v>PPOPP1</v>
          </cell>
          <cell r="B38" t="str">
            <v>Premier Plus 250/20/10; Infertility 8000 Cal Yr Max</v>
          </cell>
          <cell r="C38" t="str">
            <v>$250/$750</v>
          </cell>
          <cell r="D38" t="str">
            <v>$2500/$5000</v>
          </cell>
          <cell r="E38">
            <v>20</v>
          </cell>
          <cell r="F38">
            <v>0.1</v>
          </cell>
          <cell r="G38">
            <v>0.3</v>
          </cell>
          <cell r="H38" t="str">
            <v xml:space="preserve">$5/$15/$25/$40/30% with infertility Essential </v>
          </cell>
        </row>
        <row r="39">
          <cell r="B39" t="str">
            <v>PREMIER PPO</v>
          </cell>
          <cell r="C39" t="str">
            <v>All ded are per member</v>
          </cell>
          <cell r="D39" t="str">
            <v/>
          </cell>
          <cell r="E39" t="str">
            <v/>
          </cell>
          <cell r="F39" t="str">
            <v/>
          </cell>
          <cell r="G39" t="str">
            <v/>
          </cell>
          <cell r="H39" t="str">
            <v/>
          </cell>
        </row>
        <row r="40">
          <cell r="A40" t="str">
            <v>PPOP1</v>
          </cell>
          <cell r="B40" t="str">
            <v>Premier 150/10/10</v>
          </cell>
          <cell r="C40" t="str">
            <v>$150/$450</v>
          </cell>
          <cell r="D40" t="str">
            <v>$2000/$4000</v>
          </cell>
          <cell r="E40">
            <v>10</v>
          </cell>
          <cell r="F40">
            <v>0.1</v>
          </cell>
          <cell r="G40">
            <v>0.3</v>
          </cell>
          <cell r="H40" t="str">
            <v xml:space="preserve">$5/$15/$25/$45/30%  </v>
          </cell>
        </row>
        <row r="41">
          <cell r="A41" t="str">
            <v>PPOP2</v>
          </cell>
          <cell r="B41" t="str">
            <v>Premier 250/15/10</v>
          </cell>
          <cell r="C41" t="str">
            <v>$250/$750</v>
          </cell>
          <cell r="D41" t="str">
            <v>$2500/$5000</v>
          </cell>
          <cell r="E41">
            <v>15</v>
          </cell>
          <cell r="F41">
            <v>0.1</v>
          </cell>
          <cell r="G41">
            <v>0.3</v>
          </cell>
          <cell r="H41" t="str">
            <v xml:space="preserve">$5/$15/$25/$45/30%  </v>
          </cell>
        </row>
        <row r="42">
          <cell r="A42" t="str">
            <v>PPOP3</v>
          </cell>
          <cell r="B42" t="str">
            <v>Premier 250/20/20</v>
          </cell>
          <cell r="C42" t="str">
            <v>$250/$750</v>
          </cell>
          <cell r="D42" t="str">
            <v>$3500/$7000</v>
          </cell>
          <cell r="E42">
            <v>20</v>
          </cell>
          <cell r="F42">
            <v>0.2</v>
          </cell>
          <cell r="G42">
            <v>0.4</v>
          </cell>
          <cell r="H42" t="str">
            <v xml:space="preserve">$5/$15/$25/$45/30%  </v>
          </cell>
        </row>
        <row r="43">
          <cell r="A43" t="str">
            <v>PPOP4</v>
          </cell>
          <cell r="B43" t="str">
            <v>Premier 500/20/20</v>
          </cell>
          <cell r="C43" t="str">
            <v>$500/$1500</v>
          </cell>
          <cell r="D43" t="str">
            <v>$3500/$7000</v>
          </cell>
          <cell r="E43">
            <v>20</v>
          </cell>
          <cell r="F43">
            <v>0.2</v>
          </cell>
          <cell r="G43">
            <v>0.4</v>
          </cell>
          <cell r="H43" t="str">
            <v xml:space="preserve">$5/$15/$25/$45/30%  </v>
          </cell>
        </row>
        <row r="44">
          <cell r="B44" t="str">
            <v>CLASSIC PPO</v>
          </cell>
          <cell r="C44" t="str">
            <v>All ded are per member</v>
          </cell>
          <cell r="D44" t="str">
            <v/>
          </cell>
          <cell r="E44" t="str">
            <v/>
          </cell>
          <cell r="F44" t="str">
            <v/>
          </cell>
          <cell r="G44" t="str">
            <v/>
          </cell>
          <cell r="H44" t="str">
            <v/>
          </cell>
        </row>
        <row r="45">
          <cell r="A45" t="str">
            <v>PPOC1</v>
          </cell>
          <cell r="B45" t="str">
            <v>Classic PPO 250/20/10</v>
          </cell>
          <cell r="C45" t="str">
            <v>$250/$750 In; $750/$2250 Out</v>
          </cell>
          <cell r="D45" t="str">
            <v>$2500/$5000</v>
          </cell>
          <cell r="E45">
            <v>20</v>
          </cell>
          <cell r="F45">
            <v>0.1</v>
          </cell>
          <cell r="G45">
            <v>0.3</v>
          </cell>
          <cell r="H45" t="str">
            <v xml:space="preserve">$5/$15/$30/$50/30% Essential </v>
          </cell>
        </row>
        <row r="46">
          <cell r="A46" t="str">
            <v>PPOC2</v>
          </cell>
          <cell r="B46" t="str">
            <v>Classic PPO 250/20/20</v>
          </cell>
          <cell r="C46" t="str">
            <v>$250/$750 In; $750/$2250 Out</v>
          </cell>
          <cell r="D46" t="str">
            <v>$2500/$5000</v>
          </cell>
          <cell r="E46">
            <v>20</v>
          </cell>
          <cell r="F46">
            <v>0.2</v>
          </cell>
          <cell r="G46">
            <v>0.4</v>
          </cell>
          <cell r="H46" t="str">
            <v xml:space="preserve">$5/$15/$30/$50/30% Essential </v>
          </cell>
        </row>
        <row r="47">
          <cell r="A47" t="str">
            <v>PPOC3</v>
          </cell>
          <cell r="B47" t="str">
            <v>Classic PPO 500/20/10</v>
          </cell>
          <cell r="C47" t="str">
            <v>$500/$1500 In; $1500/$4500 Out</v>
          </cell>
          <cell r="D47" t="str">
            <v>$3500/$7000</v>
          </cell>
          <cell r="E47">
            <v>20</v>
          </cell>
          <cell r="F47">
            <v>0.1</v>
          </cell>
          <cell r="G47">
            <v>0.3</v>
          </cell>
          <cell r="H47" t="str">
            <v xml:space="preserve">$5/$15/$30/$50/30% Essential </v>
          </cell>
        </row>
        <row r="48">
          <cell r="A48" t="str">
            <v>PPOC4</v>
          </cell>
          <cell r="B48" t="str">
            <v>Classic PPO 500/20/20</v>
          </cell>
          <cell r="C48" t="str">
            <v>$500/$1500 In; $1500/$4500 Out</v>
          </cell>
          <cell r="D48" t="str">
            <v>$3500/$7000</v>
          </cell>
          <cell r="E48">
            <v>20</v>
          </cell>
          <cell r="F48">
            <v>0.2</v>
          </cell>
          <cell r="G48">
            <v>0.4</v>
          </cell>
          <cell r="H48" t="str">
            <v xml:space="preserve">$5/$15/$30/$50/30% Essential </v>
          </cell>
        </row>
        <row r="49">
          <cell r="A49" t="str">
            <v>PPOC5</v>
          </cell>
          <cell r="B49" t="str">
            <v>Classic PPO 500/30/20</v>
          </cell>
          <cell r="C49" t="str">
            <v>$500/$1500 In; $1500/$4500 Out</v>
          </cell>
          <cell r="D49" t="str">
            <v>$4000/$8000</v>
          </cell>
          <cell r="E49">
            <v>30</v>
          </cell>
          <cell r="F49">
            <v>0.2</v>
          </cell>
          <cell r="G49">
            <v>0.4</v>
          </cell>
          <cell r="H49" t="str">
            <v xml:space="preserve">$5/$15/$30/$50/30% Essential </v>
          </cell>
        </row>
        <row r="50">
          <cell r="A50" t="str">
            <v>PPOC6</v>
          </cell>
          <cell r="B50" t="str">
            <v>Classic PPO 750/30/20</v>
          </cell>
          <cell r="C50" t="str">
            <v>$750/$2250 In; $2250/$6750 Out</v>
          </cell>
          <cell r="D50" t="str">
            <v>$5000/$10000</v>
          </cell>
          <cell r="E50">
            <v>30</v>
          </cell>
          <cell r="F50">
            <v>0.2</v>
          </cell>
          <cell r="G50">
            <v>0.4</v>
          </cell>
          <cell r="H50" t="str">
            <v xml:space="preserve">$5/$20/$30/$50/30% Essential </v>
          </cell>
        </row>
        <row r="51">
          <cell r="A51" t="str">
            <v>PPOC7</v>
          </cell>
          <cell r="B51" t="str">
            <v>Classic PPO 1000/35/20</v>
          </cell>
          <cell r="C51" t="str">
            <v>$1000/$3000 In; $3000/$9000 Out</v>
          </cell>
          <cell r="D51" t="str">
            <v>$5000/$10000</v>
          </cell>
          <cell r="E51">
            <v>35</v>
          </cell>
          <cell r="F51">
            <v>0.2</v>
          </cell>
          <cell r="G51">
            <v>0.4</v>
          </cell>
          <cell r="H51" t="str">
            <v xml:space="preserve">$5/$20/$30/$50/30% Essential </v>
          </cell>
        </row>
        <row r="52">
          <cell r="B52" t="str">
            <v>SOLUTION PPO</v>
          </cell>
          <cell r="C52" t="str">
            <v/>
          </cell>
          <cell r="D52" t="str">
            <v/>
          </cell>
          <cell r="E52" t="str">
            <v/>
          </cell>
          <cell r="F52" t="str">
            <v/>
          </cell>
          <cell r="G52" t="str">
            <v/>
          </cell>
          <cell r="H52" t="str">
            <v/>
          </cell>
        </row>
        <row r="53">
          <cell r="A53" t="str">
            <v>SOL1</v>
          </cell>
          <cell r="B53" t="str">
            <v>Solution PPO 1500/15/20</v>
          </cell>
          <cell r="C53" t="str">
            <v>$1500/$3000 In; $4500/$9000 Out</v>
          </cell>
          <cell r="D53" t="str">
            <v>$3500/$7000</v>
          </cell>
          <cell r="E53">
            <v>15</v>
          </cell>
          <cell r="F53">
            <v>0.2</v>
          </cell>
          <cell r="G53">
            <v>0.4</v>
          </cell>
          <cell r="H53" t="str">
            <v xml:space="preserve">$5/$20/$40/$60/30% Essential </v>
          </cell>
        </row>
        <row r="54">
          <cell r="A54" t="str">
            <v>SOL2</v>
          </cell>
          <cell r="B54" t="str">
            <v>Solution PPO 2000/20/20</v>
          </cell>
          <cell r="C54" t="str">
            <v>$2000/$4000 In; $6000/$12000 Out</v>
          </cell>
          <cell r="D54" t="str">
            <v>$4000/$8000</v>
          </cell>
          <cell r="E54">
            <v>20</v>
          </cell>
          <cell r="F54">
            <v>0.2</v>
          </cell>
          <cell r="G54">
            <v>0.4</v>
          </cell>
          <cell r="H54" t="str">
            <v xml:space="preserve">$5/$20/$40/$60/30% Essential </v>
          </cell>
        </row>
        <row r="55">
          <cell r="A55" t="str">
            <v>SOL3</v>
          </cell>
          <cell r="B55" t="str">
            <v>Solution PPO 2500/25/20</v>
          </cell>
          <cell r="C55" t="str">
            <v>$2500/$5000 In; $7500/$15000 Out</v>
          </cell>
          <cell r="D55" t="str">
            <v>$6350/$12700</v>
          </cell>
          <cell r="E55">
            <v>25</v>
          </cell>
          <cell r="F55">
            <v>0.2</v>
          </cell>
          <cell r="G55">
            <v>0.4</v>
          </cell>
          <cell r="H55" t="str">
            <v xml:space="preserve">$5/$20/$40/$60/30% Essential </v>
          </cell>
        </row>
        <row r="56">
          <cell r="A56" t="str">
            <v>SOL4</v>
          </cell>
          <cell r="B56" t="str">
            <v>Solution PPO 3500/30/30</v>
          </cell>
          <cell r="C56" t="str">
            <v>$3500/$7000 In; $10500/$21000 Out</v>
          </cell>
          <cell r="D56" t="str">
            <v>$6350/$12700</v>
          </cell>
          <cell r="E56">
            <v>30</v>
          </cell>
          <cell r="F56">
            <v>0.3</v>
          </cell>
          <cell r="G56">
            <v>0.5</v>
          </cell>
          <cell r="H56" t="str">
            <v xml:space="preserve">$5/$20/$40/$60/30% Essential </v>
          </cell>
        </row>
        <row r="57">
          <cell r="A57" t="str">
            <v>SOL5</v>
          </cell>
          <cell r="B57" t="str">
            <v>Solution PPO 4500/30/30</v>
          </cell>
          <cell r="C57" t="str">
            <v>$4500/$9000 In; $13500/$27000 Out</v>
          </cell>
          <cell r="D57" t="str">
            <v>$7000/$14000</v>
          </cell>
          <cell r="E57">
            <v>30</v>
          </cell>
          <cell r="F57">
            <v>0.3</v>
          </cell>
          <cell r="G57">
            <v>0.5</v>
          </cell>
          <cell r="H57" t="str">
            <v xml:space="preserve">$5/$20/$40/$60/30% Essential </v>
          </cell>
        </row>
        <row r="58">
          <cell r="B58" t="str">
            <v>HEALTHY SUPPORT PPO</v>
          </cell>
          <cell r="C58" t="str">
            <v/>
          </cell>
          <cell r="D58" t="str">
            <v/>
          </cell>
          <cell r="E58" t="str">
            <v/>
          </cell>
          <cell r="F58" t="str">
            <v/>
          </cell>
          <cell r="G58" t="str">
            <v/>
          </cell>
          <cell r="H58" t="str">
            <v/>
          </cell>
        </row>
        <row r="59">
          <cell r="A59" t="str">
            <v>PPOHS1</v>
          </cell>
          <cell r="B59" t="str">
            <v>Healthy Support PPO 500/20/10</v>
          </cell>
          <cell r="C59" t="str">
            <v>$500/$1500 In; $1500/$4500 Out</v>
          </cell>
          <cell r="D59" t="str">
            <v>$3500/$7000</v>
          </cell>
          <cell r="E59">
            <v>20</v>
          </cell>
          <cell r="F59">
            <v>0.1</v>
          </cell>
          <cell r="G59">
            <v>0.3</v>
          </cell>
          <cell r="H59" t="str">
            <v xml:space="preserve">$5/$15/$50/$65/30% Essential </v>
          </cell>
        </row>
        <row r="60">
          <cell r="A60" t="str">
            <v>PPOHS2</v>
          </cell>
          <cell r="B60" t="str">
            <v>Healthy Support PPO 2500/30/30</v>
          </cell>
          <cell r="C60" t="str">
            <v>$2500/$5000 In; $7500/$15000 Out</v>
          </cell>
          <cell r="D60" t="str">
            <v>$6000/$12000</v>
          </cell>
          <cell r="E60">
            <v>30</v>
          </cell>
          <cell r="F60">
            <v>0.3</v>
          </cell>
          <cell r="G60">
            <v>0.5</v>
          </cell>
          <cell r="H60" t="str">
            <v xml:space="preserve">$5/$15/$50/$65/30% Essential </v>
          </cell>
        </row>
        <row r="61">
          <cell r="B61" t="str">
            <v>ELEMENTS CHOICE PPO</v>
          </cell>
          <cell r="C61" t="str">
            <v/>
          </cell>
          <cell r="D61" t="str">
            <v/>
          </cell>
          <cell r="E61" t="str">
            <v/>
          </cell>
          <cell r="F61" t="str">
            <v/>
          </cell>
          <cell r="G61" t="str">
            <v/>
          </cell>
          <cell r="H61" t="str">
            <v/>
          </cell>
        </row>
        <row r="62">
          <cell r="A62" t="str">
            <v>PPOEC1</v>
          </cell>
          <cell r="B62" t="str">
            <v>Elements Choice PPO 6000</v>
          </cell>
          <cell r="C62" t="str">
            <v>$6000/$12000 In; $18000/$36000 Out</v>
          </cell>
          <cell r="D62" t="str">
            <v>$6500/$13000</v>
          </cell>
          <cell r="E62" t="str">
            <v>$35/$60</v>
          </cell>
          <cell r="F62" t="str">
            <v>None</v>
          </cell>
          <cell r="G62">
            <v>0.5</v>
          </cell>
          <cell r="H62" t="str">
            <v xml:space="preserve">$5/$20/$50/$65/30% Essential </v>
          </cell>
        </row>
        <row r="63">
          <cell r="A63" t="str">
            <v>PPOEC2</v>
          </cell>
          <cell r="B63" t="str">
            <v>Elements Choice PPO 5900</v>
          </cell>
          <cell r="C63" t="str">
            <v>$5900/$11800 In; $17700/$35400 Out</v>
          </cell>
          <cell r="D63" t="str">
            <v>$6500/$13000</v>
          </cell>
          <cell r="E63" t="str">
            <v>$35 1st 3; then ded.</v>
          </cell>
          <cell r="F63" t="str">
            <v>None</v>
          </cell>
          <cell r="G63">
            <v>0.5</v>
          </cell>
          <cell r="H63" t="str">
            <v xml:space="preserve">$5/$20/$50/$65/30% Essential </v>
          </cell>
        </row>
        <row r="64">
          <cell r="B64" t="str">
            <v>EXCLUSIVE CLASSIC (For Non-California Members)</v>
          </cell>
        </row>
        <row r="65">
          <cell r="A65" t="str">
            <v>BCEC1</v>
          </cell>
          <cell r="B65" t="str">
            <v>BC Exclusive Classic 20/250 admit/125 OP</v>
          </cell>
          <cell r="C65" t="str">
            <v>None In; $3000/$9000 Out</v>
          </cell>
          <cell r="D65" t="str">
            <v>$2500/$5000</v>
          </cell>
          <cell r="E65">
            <v>20</v>
          </cell>
          <cell r="F65" t="str">
            <v>None</v>
          </cell>
          <cell r="G65">
            <v>0.5</v>
          </cell>
          <cell r="H65" t="str">
            <v xml:space="preserve">$5/$15/$30/$50/30% Essential </v>
          </cell>
        </row>
        <row r="66">
          <cell r="A66" t="str">
            <v>BCEC2</v>
          </cell>
          <cell r="B66" t="str">
            <v>BC Exclusive Classic 20/250 3 day/125 OP</v>
          </cell>
          <cell r="C66" t="str">
            <v>None In; $3500/$10500 Out</v>
          </cell>
          <cell r="D66" t="str">
            <v>$2500/$5000</v>
          </cell>
          <cell r="E66">
            <v>20</v>
          </cell>
          <cell r="F66" t="str">
            <v>None</v>
          </cell>
          <cell r="G66">
            <v>0.5</v>
          </cell>
          <cell r="H66" t="str">
            <v xml:space="preserve">$5/$15/$30/$50/30% Essential </v>
          </cell>
        </row>
        <row r="67">
          <cell r="A67" t="str">
            <v>BCEC3</v>
          </cell>
          <cell r="B67" t="str">
            <v>BC Exclusive Classic 30/500 admit/250 OP</v>
          </cell>
          <cell r="C67" t="str">
            <v>None In; $3500/$10500 Out</v>
          </cell>
          <cell r="D67" t="str">
            <v>$2500/$5000</v>
          </cell>
          <cell r="E67">
            <v>30</v>
          </cell>
          <cell r="F67" t="str">
            <v>None</v>
          </cell>
          <cell r="G67">
            <v>0.5</v>
          </cell>
          <cell r="H67" t="str">
            <v xml:space="preserve">$5/$15/$30/$50/30% Essential </v>
          </cell>
        </row>
        <row r="68">
          <cell r="B68" t="str">
            <v>EXCLUSIVE VALUE (For Non-California Members)</v>
          </cell>
        </row>
        <row r="69">
          <cell r="A69" t="str">
            <v>BCEV1</v>
          </cell>
          <cell r="B69" t="str">
            <v>BC Exclusive Value 30/30</v>
          </cell>
          <cell r="C69" t="str">
            <v>None In; $3500/$10500 Out</v>
          </cell>
          <cell r="D69" t="str">
            <v>$5000/$10000</v>
          </cell>
          <cell r="E69">
            <v>30</v>
          </cell>
          <cell r="F69">
            <v>0.3</v>
          </cell>
          <cell r="G69">
            <v>0.5</v>
          </cell>
          <cell r="H69" t="str">
            <v xml:space="preserve">$5/$15/$30/$50/30% Essential </v>
          </cell>
        </row>
        <row r="70">
          <cell r="B70" t="str">
            <v>EPO PLAN (Rich In-Network benefits, no gatekeeper, no out-of-network benefits)</v>
          </cell>
        </row>
        <row r="71">
          <cell r="A71" t="str">
            <v>EPO1</v>
          </cell>
          <cell r="B71" t="str">
            <v>EPO 600/15/20</v>
          </cell>
          <cell r="C71" t="str">
            <v>$600/$1800</v>
          </cell>
          <cell r="D71" t="str">
            <v>$2500/$5000</v>
          </cell>
          <cell r="E71">
            <v>15</v>
          </cell>
          <cell r="F71">
            <v>0.2</v>
          </cell>
          <cell r="G71" t="str">
            <v>Not Covered</v>
          </cell>
          <cell r="H71" t="str">
            <v xml:space="preserve">$5/$15/$30/$50/30% Essential </v>
          </cell>
        </row>
        <row r="72">
          <cell r="A72" t="str">
            <v>EPO2</v>
          </cell>
          <cell r="B72" t="str">
            <v>EPO 1200/15/20</v>
          </cell>
          <cell r="C72" t="str">
            <v>$1200/$3600</v>
          </cell>
          <cell r="D72" t="str">
            <v>$2500/$5000</v>
          </cell>
          <cell r="E72">
            <v>15</v>
          </cell>
          <cell r="F72">
            <v>0.2</v>
          </cell>
          <cell r="G72" t="str">
            <v>Not Covered</v>
          </cell>
          <cell r="H72" t="str">
            <v xml:space="preserve">$5/$20/$40/$60/30% Essential </v>
          </cell>
        </row>
        <row r="73">
          <cell r="A73" t="str">
            <v>EPO3</v>
          </cell>
          <cell r="B73" t="str">
            <v>EPO 2000/25/20</v>
          </cell>
          <cell r="C73" t="str">
            <v>$2000/$4000</v>
          </cell>
          <cell r="D73" t="str">
            <v>$2500/$5000</v>
          </cell>
          <cell r="E73">
            <v>25</v>
          </cell>
          <cell r="F73">
            <v>0.2</v>
          </cell>
          <cell r="G73" t="str">
            <v>Not Covered</v>
          </cell>
          <cell r="H73" t="str">
            <v xml:space="preserve">$5/$20/$40/$60/30% Essential </v>
          </cell>
        </row>
        <row r="74">
          <cell r="B74" t="str">
            <v>ANTHEM PPO HSA (Emp/Employer funded)</v>
          </cell>
          <cell r="C74" t="str">
            <v/>
          </cell>
          <cell r="D74" t="str">
            <v/>
          </cell>
          <cell r="E74" t="str">
            <v/>
          </cell>
          <cell r="F74" t="str">
            <v/>
          </cell>
          <cell r="G74" t="str">
            <v/>
          </cell>
          <cell r="H74" t="str">
            <v/>
          </cell>
        </row>
        <row r="75">
          <cell r="A75" t="str">
            <v>HSA1</v>
          </cell>
          <cell r="B75" t="str">
            <v>Anthem PPO HSA 1350/4500 10/30 LHSA287H</v>
          </cell>
          <cell r="C75" t="str">
            <v>$1350/$2700/$3000 in; $4050/$4050/$8100 out</v>
          </cell>
          <cell r="D75" t="str">
            <v>$3000/$3000/$6000</v>
          </cell>
          <cell r="E75" t="str">
            <v>10%/30%</v>
          </cell>
          <cell r="F75">
            <v>0.1</v>
          </cell>
          <cell r="G75">
            <v>0.3</v>
          </cell>
          <cell r="H75" t="str">
            <v xml:space="preserve">$5/$15/$40/$60/30% </v>
          </cell>
        </row>
        <row r="76">
          <cell r="A76" t="str">
            <v>HSA2</v>
          </cell>
          <cell r="B76" t="str">
            <v>Anthem PPO HSA 1500/4500 10/30 LHSA497H</v>
          </cell>
          <cell r="C76" t="str">
            <v>$1500/$2700/$3000 in; $4500/$4500/$9000 out</v>
          </cell>
          <cell r="D76" t="str">
            <v>$3000/$3000/$6000</v>
          </cell>
          <cell r="E76" t="str">
            <v>10%/30%</v>
          </cell>
          <cell r="F76">
            <v>0.1</v>
          </cell>
          <cell r="G76">
            <v>0.3</v>
          </cell>
          <cell r="H76" t="str">
            <v xml:space="preserve">$5/$15/$40/$60/30% </v>
          </cell>
        </row>
        <row r="77">
          <cell r="A77" t="str">
            <v>HSA3</v>
          </cell>
          <cell r="B77" t="str">
            <v xml:space="preserve">Anthem PPO HSA 1500/4500 20/40 LHSA708H </v>
          </cell>
          <cell r="C77" t="str">
            <v>$1500/$2700/$3000 in; $4500/$4500/$9000 out</v>
          </cell>
          <cell r="D77" t="str">
            <v>$3000/$3000/$6000</v>
          </cell>
          <cell r="E77" t="str">
            <v>20%/40%</v>
          </cell>
          <cell r="F77">
            <v>0.2</v>
          </cell>
          <cell r="G77">
            <v>0.4</v>
          </cell>
          <cell r="H77" t="str">
            <v xml:space="preserve">$5/$15/$40/$60/30% </v>
          </cell>
        </row>
        <row r="78">
          <cell r="A78" t="str">
            <v>HSA4</v>
          </cell>
          <cell r="B78" t="str">
            <v>Anthem PPO HSA 2000/6000 20/40 LHSA2153H</v>
          </cell>
          <cell r="C78" t="str">
            <v>$2000/$2700/$4000 in; $6000/$6000/$12000 out</v>
          </cell>
          <cell r="D78" t="str">
            <v>$3000/$3000/$6000</v>
          </cell>
          <cell r="E78" t="str">
            <v>20%/40%</v>
          </cell>
          <cell r="F78">
            <v>0.2</v>
          </cell>
          <cell r="G78">
            <v>0.4</v>
          </cell>
          <cell r="H78" t="str">
            <v xml:space="preserve">$5/$15/$40/$60/30% </v>
          </cell>
        </row>
        <row r="79">
          <cell r="A79" t="str">
            <v>HSA5</v>
          </cell>
          <cell r="B79" t="str">
            <v>Anthem PPO HSA 2700/0</v>
          </cell>
          <cell r="C79" t="str">
            <v>$2700/$5400 In; $8100/$16200 Out</v>
          </cell>
          <cell r="D79" t="str">
            <v>$5000/$10000</v>
          </cell>
          <cell r="E79" t="str">
            <v>None/30%</v>
          </cell>
          <cell r="F79" t="str">
            <v>None</v>
          </cell>
          <cell r="G79">
            <v>0.3</v>
          </cell>
          <cell r="H79" t="str">
            <v xml:space="preserve">$5/$15/$40/$60/30% Essential </v>
          </cell>
        </row>
        <row r="80">
          <cell r="A80" t="str">
            <v>HSA6</v>
          </cell>
          <cell r="B80" t="str">
            <v>Anthem PPO HSA 2700/20</v>
          </cell>
          <cell r="C80" t="str">
            <v>$2700/$5400 In; $8100/$16200 Out</v>
          </cell>
          <cell r="D80" t="str">
            <v>$5000/$10000</v>
          </cell>
          <cell r="E80" t="str">
            <v>20%/50%</v>
          </cell>
          <cell r="F80">
            <v>0.2</v>
          </cell>
          <cell r="G80">
            <v>0.5</v>
          </cell>
          <cell r="H80" t="str">
            <v xml:space="preserve">$5/$15/$40/$60/30% Essential </v>
          </cell>
        </row>
        <row r="81">
          <cell r="A81" t="str">
            <v>HSA7</v>
          </cell>
          <cell r="B81" t="str">
            <v>Anthem PPO HSA 3000/20</v>
          </cell>
          <cell r="C81" t="str">
            <v>$3000/$6000 In; $9000/$18000 Out</v>
          </cell>
          <cell r="D81" t="str">
            <v>$5000/$10000</v>
          </cell>
          <cell r="E81" t="str">
            <v>20%/40%</v>
          </cell>
          <cell r="F81">
            <v>0.2</v>
          </cell>
          <cell r="G81">
            <v>0.4</v>
          </cell>
          <cell r="H81" t="str">
            <v xml:space="preserve">$5/$15/$40/$60/30% Essential </v>
          </cell>
        </row>
        <row r="82">
          <cell r="A82" t="str">
            <v>HSA8</v>
          </cell>
          <cell r="B82" t="str">
            <v>Anthem PPO HSA 3500/20</v>
          </cell>
          <cell r="C82" t="str">
            <v>$3500/$7000 In; $10500/$21000 Out</v>
          </cell>
          <cell r="D82" t="str">
            <v>$5500/$11000</v>
          </cell>
          <cell r="E82" t="str">
            <v>20%/50%</v>
          </cell>
          <cell r="F82">
            <v>0.2</v>
          </cell>
          <cell r="G82">
            <v>0.5</v>
          </cell>
          <cell r="H82" t="str">
            <v xml:space="preserve">$5/$15/$40/$60/30% Essential </v>
          </cell>
        </row>
        <row r="83">
          <cell r="A83" t="str">
            <v>HSA9</v>
          </cell>
          <cell r="B83" t="str">
            <v>Anthem PPO HSA 4000/20</v>
          </cell>
          <cell r="C83" t="str">
            <v>$4000/$8000 In; $12000/$24000 Out</v>
          </cell>
          <cell r="D83" t="str">
            <v>$5500/$11000</v>
          </cell>
          <cell r="E83" t="str">
            <v>20%/50%</v>
          </cell>
          <cell r="F83">
            <v>0.2</v>
          </cell>
          <cell r="G83">
            <v>0.5</v>
          </cell>
          <cell r="H83" t="str">
            <v xml:space="preserve">$5/$15/$40/$60/30% Essential </v>
          </cell>
        </row>
        <row r="84">
          <cell r="A84" t="str">
            <v>HSA10</v>
          </cell>
          <cell r="B84" t="str">
            <v>Anthem PPO HSA 4500/20</v>
          </cell>
          <cell r="C84" t="str">
            <v>$4500/$9000 In; $13500/$27000 Out</v>
          </cell>
          <cell r="D84" t="str">
            <v>$6000/$12000</v>
          </cell>
          <cell r="E84" t="str">
            <v>20%/50%</v>
          </cell>
          <cell r="F84">
            <v>0.2</v>
          </cell>
          <cell r="G84">
            <v>0.5</v>
          </cell>
          <cell r="H84" t="str">
            <v xml:space="preserve">$5/$15/$40/$60/30% Essential </v>
          </cell>
        </row>
        <row r="85">
          <cell r="B85" t="str">
            <v>HEALTHY SUPPORT HSA</v>
          </cell>
          <cell r="C85" t="str">
            <v/>
          </cell>
          <cell r="D85" t="str">
            <v/>
          </cell>
          <cell r="F85" t="str">
            <v/>
          </cell>
          <cell r="G85" t="str">
            <v/>
          </cell>
          <cell r="H85" t="str">
            <v/>
          </cell>
        </row>
        <row r="86">
          <cell r="A86" t="str">
            <v>HSAHS1</v>
          </cell>
          <cell r="B86" t="str">
            <v>Anthem PPO Health Support HSA 2700/20</v>
          </cell>
          <cell r="C86" t="str">
            <v>$2700/$5400 In; $8100/$16200 Out</v>
          </cell>
          <cell r="D86" t="str">
            <v>$5000/$10000</v>
          </cell>
          <cell r="E86" t="str">
            <v>20%/40%</v>
          </cell>
          <cell r="F86">
            <v>0.2</v>
          </cell>
          <cell r="G86">
            <v>0.4</v>
          </cell>
          <cell r="H86" t="str">
            <v xml:space="preserve">$5/$15/$50/$65/30% Essential </v>
          </cell>
        </row>
        <row r="87">
          <cell r="B87" t="str">
            <v xml:space="preserve">ELEMENTS CHOICE HSA </v>
          </cell>
          <cell r="D87" t="str">
            <v/>
          </cell>
          <cell r="F87" t="str">
            <v/>
          </cell>
          <cell r="G87" t="str">
            <v/>
          </cell>
          <cell r="H87" t="str">
            <v/>
          </cell>
        </row>
        <row r="88">
          <cell r="A88" t="str">
            <v>HSAEC1</v>
          </cell>
          <cell r="B88" t="str">
            <v>Anthem PPO Elements Choice HSA 4500/20</v>
          </cell>
          <cell r="C88" t="str">
            <v>$4500/$9000 In; $13500/$27000 Out</v>
          </cell>
          <cell r="D88" t="str">
            <v>$6350/$12700</v>
          </cell>
          <cell r="E88" t="str">
            <v>20%/50%</v>
          </cell>
          <cell r="F88">
            <v>0.2</v>
          </cell>
          <cell r="G88">
            <v>0.5</v>
          </cell>
          <cell r="H88" t="str">
            <v xml:space="preserve">$5/$15/$50/$65/30% Essential </v>
          </cell>
        </row>
        <row r="89">
          <cell r="A89" t="str">
            <v>HSAEC2</v>
          </cell>
          <cell r="B89" t="str">
            <v>Anthem PPO Elements Choice HSA 6350</v>
          </cell>
          <cell r="C89" t="str">
            <v>$6350/$12700 In; $19050/$38100 Out</v>
          </cell>
          <cell r="D89" t="str">
            <v>$6950/$13300</v>
          </cell>
          <cell r="E89" t="str">
            <v>None/50%</v>
          </cell>
          <cell r="F89" t="str">
            <v>None</v>
          </cell>
          <cell r="G89">
            <v>0.5</v>
          </cell>
          <cell r="H89" t="str">
            <v xml:space="preserve">$5/$15/$50/$65/30% Essential </v>
          </cell>
        </row>
        <row r="90">
          <cell r="B90" t="str">
            <v>ANTHEM PPO HRA EMBEDDED (Employer funded)</v>
          </cell>
          <cell r="C90" t="str">
            <v>Allocations are half the deductible</v>
          </cell>
          <cell r="D90" t="str">
            <v>1st code is for unlimted roll over 2nd is 1x Rollover 3rd is 2x Rollover</v>
          </cell>
          <cell r="G90" t="str">
            <v/>
          </cell>
          <cell r="H90" t="str">
            <v/>
          </cell>
        </row>
        <row r="91">
          <cell r="A91" t="str">
            <v>HRA1</v>
          </cell>
          <cell r="B91" t="str">
            <v>Anthem PPO HRA 3000/0 Unlimited Rollover</v>
          </cell>
          <cell r="C91" t="str">
            <v>$3000/$6000 In; $9000/$18000 Out</v>
          </cell>
          <cell r="D91" t="str">
            <v>$4000/$8000 In; $12000/$24000 Out</v>
          </cell>
          <cell r="E91" t="str">
            <v>None/30%</v>
          </cell>
          <cell r="F91" t="str">
            <v>None</v>
          </cell>
          <cell r="G91">
            <v>0.3</v>
          </cell>
          <cell r="H91" t="str">
            <v xml:space="preserve">$5/$15/$40/$60/30% Essential </v>
          </cell>
        </row>
        <row r="92">
          <cell r="A92" t="str">
            <v>HRA2</v>
          </cell>
          <cell r="B92" t="str">
            <v>Anthem PPO HRA 3000/0 1X Rollover</v>
          </cell>
          <cell r="C92" t="str">
            <v>$3000/$6000 In; $9000/$18000 Out</v>
          </cell>
          <cell r="D92" t="str">
            <v>$4000/$8000 In; $12000/$24000 Out</v>
          </cell>
          <cell r="E92" t="str">
            <v>None/30%</v>
          </cell>
          <cell r="F92" t="str">
            <v>None</v>
          </cell>
          <cell r="G92">
            <v>0.3</v>
          </cell>
          <cell r="H92" t="str">
            <v xml:space="preserve">$5/$15/$40/$60/30% Essential </v>
          </cell>
        </row>
        <row r="93">
          <cell r="B93" t="str">
            <v>Anthem PPO HRA FIRST-DOLLAR COPAY (Employer funded)</v>
          </cell>
          <cell r="D93" t="str">
            <v/>
          </cell>
          <cell r="E93" t="str">
            <v/>
          </cell>
          <cell r="F93" t="str">
            <v/>
          </cell>
          <cell r="G93" t="str">
            <v/>
          </cell>
          <cell r="H93" t="str">
            <v/>
          </cell>
        </row>
        <row r="94">
          <cell r="A94" t="str">
            <v>HRA3</v>
          </cell>
          <cell r="B94" t="str">
            <v>Anthem PPO HRA First Dollar Copay 1500/20/10 Unlimited Rollover</v>
          </cell>
          <cell r="C94" t="str">
            <v>$1500/$3000 In; $4500/$9000 Out</v>
          </cell>
          <cell r="D94" t="str">
            <v>$3425/$6850 In; $10275/$20550 Out</v>
          </cell>
          <cell r="E94" t="str">
            <v>$20/30%</v>
          </cell>
          <cell r="F94">
            <v>0.1</v>
          </cell>
          <cell r="G94">
            <v>0.3</v>
          </cell>
          <cell r="H94" t="str">
            <v xml:space="preserve">$5/$15/$40/$60/30% Essential </v>
          </cell>
        </row>
        <row r="95">
          <cell r="A95" t="str">
            <v>HRA4</v>
          </cell>
          <cell r="B95" t="str">
            <v>Anthem PPO HRA Copay 1500/20/10 1x Rollover</v>
          </cell>
          <cell r="C95" t="str">
            <v>$1500/$3000 In; $4500/$9000 Out</v>
          </cell>
          <cell r="D95" t="str">
            <v>$3425/$6850 In; $10275/$20550 Out</v>
          </cell>
          <cell r="E95" t="str">
            <v>$20/30%</v>
          </cell>
          <cell r="F95">
            <v>0.1</v>
          </cell>
          <cell r="G95">
            <v>0.3</v>
          </cell>
          <cell r="H95" t="str">
            <v xml:space="preserve">$5/$15/$40/$60/30% Essential </v>
          </cell>
        </row>
        <row r="96">
          <cell r="A96" t="str">
            <v>HRA5</v>
          </cell>
          <cell r="B96" t="str">
            <v>Anthem PPO HRA Copay 2000/30/20 Unlimited Rollover</v>
          </cell>
          <cell r="C96" t="str">
            <v>$2000/$4000 In; $6000/$12000 Out</v>
          </cell>
          <cell r="D96" t="str">
            <v>$5000/$10000 In; $15000/$30000 Out</v>
          </cell>
          <cell r="E96" t="str">
            <v>$30/40%</v>
          </cell>
          <cell r="F96">
            <v>0.2</v>
          </cell>
          <cell r="G96">
            <v>0.4</v>
          </cell>
          <cell r="H96" t="str">
            <v xml:space="preserve">$5/$15/$40/$60/30% Essential </v>
          </cell>
        </row>
        <row r="97">
          <cell r="A97" t="str">
            <v>HRA6</v>
          </cell>
          <cell r="B97" t="str">
            <v>Anthem PPO HRA Copay 2000/30/20 1x Rollover</v>
          </cell>
          <cell r="C97" t="str">
            <v>$2000/$4000 In; $6000/$12000 Out</v>
          </cell>
          <cell r="D97" t="str">
            <v>$5000/$10000 In; $15000/$30000 Out</v>
          </cell>
          <cell r="E97" t="str">
            <v>$30/40%</v>
          </cell>
          <cell r="F97">
            <v>0.2</v>
          </cell>
          <cell r="G97">
            <v>0.4</v>
          </cell>
          <cell r="H97" t="str">
            <v xml:space="preserve">$5/$15/$40/$60/30% Essential </v>
          </cell>
        </row>
        <row r="98">
          <cell r="B98" t="str">
            <v>ANTHEM PPO HRA DEDUCTIBLE FIRST (Employer funded)</v>
          </cell>
          <cell r="D98" t="str">
            <v/>
          </cell>
          <cell r="E98" t="str">
            <v/>
          </cell>
          <cell r="F98" t="str">
            <v/>
          </cell>
          <cell r="G98" t="str">
            <v/>
          </cell>
          <cell r="H98" t="str">
            <v/>
          </cell>
        </row>
        <row r="99">
          <cell r="A99" t="str">
            <v>HRA7</v>
          </cell>
          <cell r="B99" t="str">
            <v>Anthem PPO Deductible First HRA 3500/25/20 Unlimited Rollover</v>
          </cell>
          <cell r="C99" t="str">
            <v>$750/$1500 UpFront; $3.5K/$7K In; $10K/$21K Out</v>
          </cell>
          <cell r="D99" t="str">
            <v>$6350/$12700 In; $19050/38100 Out</v>
          </cell>
          <cell r="E99" t="str">
            <v>$25/40%</v>
          </cell>
          <cell r="F99">
            <v>0.2</v>
          </cell>
          <cell r="G99">
            <v>0.4</v>
          </cell>
          <cell r="H99" t="str">
            <v xml:space="preserve">$5/$15/$40/$60/30% Essential </v>
          </cell>
        </row>
        <row r="100">
          <cell r="B100" t="str">
            <v>ANTHEM PPO HIA PLUS (Anthem funded)</v>
          </cell>
          <cell r="D100" t="str">
            <v/>
          </cell>
          <cell r="E100" t="str">
            <v/>
          </cell>
          <cell r="F100" t="str">
            <v/>
          </cell>
          <cell r="G100" t="str">
            <v/>
          </cell>
          <cell r="H100" t="str">
            <v/>
          </cell>
        </row>
        <row r="101">
          <cell r="A101" t="str">
            <v>HIAP1</v>
          </cell>
          <cell r="B101" t="str">
            <v>Anthem PPO HIA Plus 3000/0</v>
          </cell>
          <cell r="C101" t="str">
            <v>$3000/$6000 In; $9000/$18000 Out</v>
          </cell>
          <cell r="D101" t="str">
            <v>$4000/$8000 In; $12K/$24K Out</v>
          </cell>
          <cell r="E101" t="str">
            <v>None</v>
          </cell>
          <cell r="F101" t="str">
            <v>None</v>
          </cell>
          <cell r="G101">
            <v>0.3</v>
          </cell>
          <cell r="H101" t="str">
            <v xml:space="preserve">$5/$15/$40/$60/30% Essential </v>
          </cell>
        </row>
        <row r="102">
          <cell r="B102" t="str">
            <v>ANTHEM HIA PLUS FIRST-DOLLAR COPAY (Account funded through member rewards)</v>
          </cell>
          <cell r="D102" t="str">
            <v/>
          </cell>
          <cell r="E102" t="str">
            <v/>
          </cell>
          <cell r="F102" t="str">
            <v/>
          </cell>
          <cell r="G102" t="str">
            <v/>
          </cell>
          <cell r="H102" t="str">
            <v/>
          </cell>
        </row>
        <row r="103">
          <cell r="A103" t="str">
            <v>HIAP2</v>
          </cell>
          <cell r="B103" t="str">
            <v>Anthem PPO HIA Plus Copay 1500/20/10</v>
          </cell>
          <cell r="C103" t="str">
            <v>$1500/$3000 In; $4500/$9000 Out</v>
          </cell>
          <cell r="D103" t="str">
            <v>$3425/$6850 In; $10275/$20550 Out</v>
          </cell>
          <cell r="E103">
            <v>20</v>
          </cell>
          <cell r="F103">
            <v>0.1</v>
          </cell>
          <cell r="G103">
            <v>0.3</v>
          </cell>
          <cell r="H103" t="str">
            <v xml:space="preserve">$5/$15/$40/$60/30% Essential </v>
          </cell>
        </row>
        <row r="104">
          <cell r="A104" t="str">
            <v>HIAP3</v>
          </cell>
          <cell r="B104" t="str">
            <v>Anthem PPO HIA Plus Copay 2000/30/20</v>
          </cell>
          <cell r="C104" t="str">
            <v>$2000/$4000 In; $6000/$12000 Out</v>
          </cell>
          <cell r="D104" t="str">
            <v>$5000/$10000 In; $15000/$30000 Out</v>
          </cell>
          <cell r="E104">
            <v>30</v>
          </cell>
          <cell r="F104">
            <v>0.2</v>
          </cell>
          <cell r="G104">
            <v>0.4</v>
          </cell>
          <cell r="H104" t="str">
            <v xml:space="preserve">$5/$15/$40/$60/30% Essential </v>
          </cell>
        </row>
        <row r="105">
          <cell r="B105" t="str">
            <v>ANTHEM PPO HIA PLUS DEDUCTIBLE FIRST (Anthem funded)</v>
          </cell>
          <cell r="C105" t="str">
            <v/>
          </cell>
          <cell r="D105" t="str">
            <v/>
          </cell>
          <cell r="E105" t="str">
            <v/>
          </cell>
          <cell r="F105" t="str">
            <v/>
          </cell>
          <cell r="G105" t="str">
            <v/>
          </cell>
          <cell r="H105" t="str">
            <v/>
          </cell>
        </row>
        <row r="106">
          <cell r="A106" t="str">
            <v>HIAP4</v>
          </cell>
          <cell r="B106" t="str">
            <v>Anthem PPO Deductible First HIA Plus 3500/25/20</v>
          </cell>
          <cell r="C106" t="str">
            <v>$750/$1500 Up Front; $3.5K/$7K in; $10.5K/$21K out</v>
          </cell>
          <cell r="D106" t="str">
            <v>$6350/$12700</v>
          </cell>
          <cell r="E106">
            <v>25</v>
          </cell>
          <cell r="F106">
            <v>0.2</v>
          </cell>
          <cell r="G106">
            <v>0.4</v>
          </cell>
        </row>
      </sheetData>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64</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V71"/>
  <sheetViews>
    <sheetView showGridLines="0" tabSelected="1" workbookViewId="0">
      <selection activeCell="J7" sqref="J7"/>
    </sheetView>
  </sheetViews>
  <sheetFormatPr baseColWidth="10" defaultColWidth="8.83203125" defaultRowHeight="15" x14ac:dyDescent="0.2"/>
  <cols>
    <col min="1" max="1" width="2.33203125" style="6" customWidth="1"/>
    <col min="2" max="2" width="12.1640625" style="6" customWidth="1"/>
    <col min="3" max="3" width="5.1640625" style="6" customWidth="1"/>
    <col min="4" max="4" width="8.33203125" style="6" customWidth="1"/>
    <col min="5" max="5" width="11.5" style="6" customWidth="1"/>
    <col min="6" max="7" width="5.83203125" style="6" customWidth="1"/>
    <col min="8" max="8" width="5.664062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21" width="11.83203125" style="6" customWidth="1"/>
    <col min="22" max="16384" width="8.83203125" style="6"/>
  </cols>
  <sheetData>
    <row r="1" spans="1:22" s="3" customFormat="1" ht="40.25" customHeight="1" thickTop="1" x14ac:dyDescent="0.2">
      <c r="A1" s="60"/>
      <c r="B1" s="829" t="s">
        <v>0</v>
      </c>
      <c r="C1" s="829"/>
      <c r="D1" s="829"/>
      <c r="E1" s="829"/>
      <c r="F1" s="829"/>
      <c r="G1" s="829"/>
      <c r="H1" s="829"/>
      <c r="I1" s="829"/>
      <c r="J1" s="829"/>
      <c r="K1" s="829"/>
      <c r="L1" s="829"/>
      <c r="M1" s="829"/>
      <c r="N1" s="829"/>
      <c r="O1" s="829"/>
      <c r="P1" s="829"/>
      <c r="Q1" s="829"/>
      <c r="R1" s="829"/>
      <c r="S1" s="829"/>
      <c r="T1" s="61"/>
      <c r="V1" s="594"/>
    </row>
    <row r="2" spans="1:22" s="325" customFormat="1" ht="16" x14ac:dyDescent="0.2">
      <c r="A2" s="323"/>
      <c r="B2" s="315" t="s">
        <v>1763</v>
      </c>
      <c r="C2" s="315"/>
      <c r="D2" s="326"/>
      <c r="E2" s="326"/>
      <c r="F2" s="327"/>
      <c r="G2" s="327"/>
      <c r="H2" s="322"/>
      <c r="I2" s="322"/>
      <c r="J2" s="322"/>
      <c r="K2" s="322"/>
      <c r="L2" s="322"/>
      <c r="M2" s="322"/>
      <c r="N2" s="322"/>
      <c r="O2" s="322"/>
      <c r="P2" s="322"/>
      <c r="Q2" s="322"/>
      <c r="R2" s="322"/>
      <c r="S2" s="322"/>
      <c r="T2" s="324"/>
    </row>
    <row r="3" spans="1:22" s="325" customFormat="1" ht="17" thickBot="1" x14ac:dyDescent="0.25">
      <c r="A3" s="323"/>
      <c r="B3" s="488" t="str">
        <f>E8</f>
        <v>DEVSALE_FIRST_NAME DEVSALE_LAST_NAME</v>
      </c>
      <c r="C3" s="322"/>
      <c r="D3" s="322"/>
      <c r="E3" s="322"/>
      <c r="F3" s="322"/>
      <c r="G3" s="322"/>
      <c r="H3" s="322"/>
      <c r="I3" s="322"/>
      <c r="J3" s="322"/>
      <c r="K3" s="322"/>
      <c r="L3" s="322"/>
      <c r="M3" s="322"/>
      <c r="N3" s="322"/>
      <c r="O3" s="322"/>
      <c r="P3" s="322"/>
      <c r="Q3" s="322"/>
      <c r="R3" s="322"/>
      <c r="S3" s="322"/>
      <c r="T3" s="324"/>
    </row>
    <row r="4" spans="1:22" ht="16" x14ac:dyDescent="0.2">
      <c r="A4" s="62"/>
      <c r="B4" s="791" t="s">
        <v>1</v>
      </c>
      <c r="C4" s="792"/>
      <c r="D4" s="793"/>
      <c r="E4" s="793"/>
      <c r="F4" s="793"/>
      <c r="G4" s="793"/>
      <c r="H4" s="793"/>
      <c r="I4" s="793"/>
      <c r="J4" s="794"/>
      <c r="K4" s="4"/>
      <c r="L4" s="38" t="s">
        <v>2</v>
      </c>
      <c r="M4" s="39"/>
      <c r="N4" s="39"/>
      <c r="O4" s="40"/>
      <c r="P4" s="5"/>
      <c r="Q4" s="41" t="s">
        <v>3</v>
      </c>
      <c r="R4" s="39"/>
      <c r="S4" s="40"/>
      <c r="T4" s="63"/>
    </row>
    <row r="5" spans="1:22" ht="16" thickBot="1" x14ac:dyDescent="0.25">
      <c r="A5" s="62"/>
      <c r="B5" s="764" t="s">
        <v>4</v>
      </c>
      <c r="C5" s="765"/>
      <c r="D5" s="766"/>
      <c r="E5" s="767"/>
      <c r="F5" s="767"/>
      <c r="G5" s="767"/>
      <c r="H5" s="767"/>
      <c r="I5" s="614" t="s">
        <v>5</v>
      </c>
      <c r="J5" s="710">
        <v>1542</v>
      </c>
      <c r="K5" s="7"/>
      <c r="L5" s="764" t="s">
        <v>6</v>
      </c>
      <c r="M5" s="766"/>
      <c r="N5" s="830">
        <f>SUM(N6:O8)</f>
        <v>182</v>
      </c>
      <c r="O5" s="831"/>
      <c r="P5" s="2"/>
      <c r="Q5" s="42" t="s">
        <v>7</v>
      </c>
      <c r="R5" s="832">
        <v>42998</v>
      </c>
      <c r="S5" s="817"/>
      <c r="T5" s="63"/>
    </row>
    <row r="6" spans="1:22" ht="16" thickBot="1" x14ac:dyDescent="0.25">
      <c r="A6" s="62"/>
      <c r="B6" s="764" t="s">
        <v>8</v>
      </c>
      <c r="C6" s="765"/>
      <c r="D6" s="766"/>
      <c r="E6" s="767"/>
      <c r="F6" s="767"/>
      <c r="G6" s="767"/>
      <c r="H6" s="767"/>
      <c r="I6" s="613" t="s">
        <v>9</v>
      </c>
      <c r="J6" s="204">
        <f>IF(J5="","",VLOOKUP(J5,'SIC Look Up'!A1:E1005,4,FALSE))</f>
        <v>1</v>
      </c>
      <c r="K6" s="5"/>
      <c r="L6" s="764" t="s">
        <v>10</v>
      </c>
      <c r="M6" s="766"/>
      <c r="N6" s="830">
        <f>M37</f>
        <v>165</v>
      </c>
      <c r="O6" s="831"/>
      <c r="P6" s="4"/>
      <c r="Q6" s="8"/>
      <c r="R6" s="8"/>
      <c r="S6" s="9"/>
      <c r="T6" s="63"/>
    </row>
    <row r="7" spans="1:22" x14ac:dyDescent="0.2">
      <c r="A7" s="62"/>
      <c r="B7" s="764" t="s">
        <v>11</v>
      </c>
      <c r="C7" s="765"/>
      <c r="D7" s="766"/>
      <c r="E7" s="836">
        <v>43101</v>
      </c>
      <c r="F7" s="836"/>
      <c r="G7" s="836"/>
      <c r="H7" s="836"/>
      <c r="I7" s="613" t="s">
        <v>12</v>
      </c>
      <c r="J7" s="32">
        <v>92078</v>
      </c>
      <c r="K7" s="5"/>
      <c r="L7" s="764" t="s">
        <v>13</v>
      </c>
      <c r="M7" s="766"/>
      <c r="N7" s="818"/>
      <c r="O7" s="819"/>
      <c r="P7" s="10"/>
      <c r="Q7" s="833" t="s">
        <v>14</v>
      </c>
      <c r="R7" s="834"/>
      <c r="S7" s="835"/>
      <c r="T7" s="63"/>
    </row>
    <row r="8" spans="1:22" ht="15" customHeight="1" x14ac:dyDescent="0.2">
      <c r="A8" s="62"/>
      <c r="B8" s="764" t="s">
        <v>15</v>
      </c>
      <c r="C8" s="765"/>
      <c r="D8" s="766"/>
      <c r="E8" s="1139" t="s">
        <v>1946</v>
      </c>
      <c r="F8" s="1140"/>
      <c r="G8" s="1140"/>
      <c r="H8" s="1141"/>
      <c r="I8" s="18"/>
      <c r="J8" s="33"/>
      <c r="K8" s="5"/>
      <c r="L8" s="764" t="s">
        <v>17</v>
      </c>
      <c r="M8" s="766"/>
      <c r="N8" s="818">
        <v>17</v>
      </c>
      <c r="O8" s="819"/>
      <c r="P8" s="4"/>
      <c r="Q8" s="43">
        <v>1</v>
      </c>
      <c r="R8" s="818" t="s">
        <v>1945</v>
      </c>
      <c r="S8" s="819"/>
      <c r="T8" s="63"/>
    </row>
    <row r="9" spans="1:22" ht="15" customHeight="1" thickBot="1" x14ac:dyDescent="0.25">
      <c r="A9" s="62"/>
      <c r="B9" s="764" t="s">
        <v>18</v>
      </c>
      <c r="C9" s="765"/>
      <c r="D9" s="766"/>
      <c r="E9" s="1142" t="s">
        <v>1947</v>
      </c>
      <c r="F9" s="1143"/>
      <c r="G9" s="1143"/>
      <c r="H9" s="1144"/>
      <c r="I9" s="19"/>
      <c r="J9" s="34"/>
      <c r="K9" s="5"/>
      <c r="L9" s="768" t="s">
        <v>20</v>
      </c>
      <c r="M9" s="769"/>
      <c r="N9" s="816"/>
      <c r="O9" s="817"/>
      <c r="P9" s="4"/>
      <c r="Q9" s="43">
        <v>2</v>
      </c>
      <c r="R9" s="818" t="str">
        <f>R8</f>
        <v>aetna</v>
      </c>
      <c r="S9" s="819"/>
      <c r="T9" s="63"/>
    </row>
    <row r="10" spans="1:22" ht="15" customHeight="1" thickBot="1" x14ac:dyDescent="0.25">
      <c r="A10" s="62"/>
      <c r="B10" s="764" t="s">
        <v>21</v>
      </c>
      <c r="C10" s="765"/>
      <c r="D10" s="766"/>
      <c r="E10" s="767" t="s">
        <v>22</v>
      </c>
      <c r="F10" s="767"/>
      <c r="G10" s="767"/>
      <c r="H10" s="767"/>
      <c r="I10" s="20"/>
      <c r="J10" s="35"/>
      <c r="K10" s="5"/>
      <c r="L10" s="8"/>
      <c r="M10" s="8"/>
      <c r="N10" s="8"/>
      <c r="O10" s="8"/>
      <c r="P10" s="4"/>
      <c r="Q10" s="43">
        <v>3</v>
      </c>
      <c r="R10" s="818" t="str">
        <f>R9</f>
        <v>aetna</v>
      </c>
      <c r="S10" s="819"/>
      <c r="T10" s="63"/>
    </row>
    <row r="11" spans="1:22" ht="16.25" customHeight="1" x14ac:dyDescent="0.2">
      <c r="A11" s="62"/>
      <c r="B11" s="764" t="s">
        <v>23</v>
      </c>
      <c r="C11" s="765"/>
      <c r="D11" s="766"/>
      <c r="E11" s="820" t="s">
        <v>1918</v>
      </c>
      <c r="F11" s="820"/>
      <c r="G11" s="820"/>
      <c r="H11" s="820"/>
      <c r="I11" s="614" t="s">
        <v>24</v>
      </c>
      <c r="J11" s="32"/>
      <c r="K11" s="5"/>
      <c r="L11" s="821" t="s">
        <v>25</v>
      </c>
      <c r="M11" s="822"/>
      <c r="N11" s="823" t="s">
        <v>52</v>
      </c>
      <c r="O11" s="824"/>
      <c r="P11" s="4"/>
      <c r="Q11" s="43">
        <v>4</v>
      </c>
      <c r="R11" s="818" t="str">
        <f>R10</f>
        <v>aetna</v>
      </c>
      <c r="S11" s="819"/>
      <c r="T11" s="63"/>
    </row>
    <row r="12" spans="1:22" ht="16.25" customHeight="1" thickBot="1" x14ac:dyDescent="0.25">
      <c r="A12" s="62"/>
      <c r="B12" s="768" t="s">
        <v>26</v>
      </c>
      <c r="C12" s="825"/>
      <c r="D12" s="769"/>
      <c r="E12" s="826"/>
      <c r="F12" s="826"/>
      <c r="G12" s="826"/>
      <c r="H12" s="826"/>
      <c r="I12" s="36"/>
      <c r="J12" s="37"/>
      <c r="K12" s="5"/>
      <c r="L12" s="5"/>
      <c r="M12" s="5"/>
      <c r="N12" s="5"/>
      <c r="O12" s="5"/>
      <c r="P12" s="5"/>
      <c r="Q12" s="44">
        <v>5</v>
      </c>
      <c r="R12" s="816" t="str">
        <f>R11</f>
        <v>aetna</v>
      </c>
      <c r="S12" s="817"/>
      <c r="T12" s="63"/>
    </row>
    <row r="13" spans="1:22" ht="6.5" customHeight="1" thickBot="1" x14ac:dyDescent="0.25">
      <c r="A13" s="62"/>
      <c r="B13" s="11"/>
      <c r="C13" s="4"/>
      <c r="D13" s="4"/>
      <c r="E13" s="4"/>
      <c r="F13" s="10"/>
      <c r="G13" s="10"/>
      <c r="H13" s="10"/>
      <c r="I13" s="4"/>
      <c r="J13" s="4"/>
      <c r="K13" s="4"/>
      <c r="L13" s="4"/>
      <c r="M13" s="5"/>
      <c r="N13" s="4"/>
      <c r="O13" s="4"/>
      <c r="P13" s="4"/>
      <c r="Q13" s="14"/>
      <c r="R13" s="14"/>
      <c r="S13" s="14"/>
      <c r="T13" s="63"/>
    </row>
    <row r="14" spans="1:22" ht="16" x14ac:dyDescent="0.2">
      <c r="A14" s="62"/>
      <c r="B14" s="38" t="s">
        <v>1721</v>
      </c>
      <c r="C14" s="205"/>
      <c r="D14" s="48"/>
      <c r="E14" s="39"/>
      <c r="F14" s="49"/>
      <c r="G14" s="48"/>
      <c r="H14" s="39"/>
      <c r="I14" s="48"/>
      <c r="J14" s="39"/>
      <c r="K14" s="39"/>
      <c r="L14" s="39"/>
      <c r="M14" s="50"/>
      <c r="N14" s="39"/>
      <c r="O14" s="39"/>
      <c r="P14" s="39"/>
      <c r="Q14" s="39"/>
      <c r="R14" s="39"/>
      <c r="S14" s="40"/>
      <c r="T14" s="63"/>
    </row>
    <row r="15" spans="1:22" ht="27" customHeight="1" x14ac:dyDescent="0.2">
      <c r="A15" s="62"/>
      <c r="B15" s="814" t="s">
        <v>27</v>
      </c>
      <c r="C15" s="815"/>
      <c r="D15" s="827">
        <v>6</v>
      </c>
      <c r="E15" s="828"/>
      <c r="F15" s="770" t="s">
        <v>28</v>
      </c>
      <c r="G15" s="771"/>
      <c r="H15" s="772" t="s">
        <v>29</v>
      </c>
      <c r="I15" s="772"/>
      <c r="J15" s="772"/>
      <c r="K15" s="772"/>
      <c r="L15" s="772"/>
      <c r="M15" s="773"/>
      <c r="N15" s="776" t="s">
        <v>30</v>
      </c>
      <c r="O15" s="772"/>
      <c r="P15" s="772"/>
      <c r="Q15" s="772"/>
      <c r="R15" s="772"/>
      <c r="S15" s="773"/>
      <c r="T15" s="63"/>
    </row>
    <row r="16" spans="1:22" ht="29" customHeight="1" x14ac:dyDescent="0.2">
      <c r="A16" s="62"/>
      <c r="B16" s="51" t="s">
        <v>31</v>
      </c>
      <c r="C16" s="211" t="s">
        <v>576</v>
      </c>
      <c r="D16" s="777" t="s">
        <v>32</v>
      </c>
      <c r="E16" s="778"/>
      <c r="F16" s="21" t="s">
        <v>33</v>
      </c>
      <c r="G16" s="24" t="s">
        <v>34</v>
      </c>
      <c r="H16" s="16"/>
      <c r="I16" s="15" t="s">
        <v>33</v>
      </c>
      <c r="J16" s="15" t="str">
        <f>IF(E42=3,"EE+1","ES")</f>
        <v>ES</v>
      </c>
      <c r="K16" s="15" t="str">
        <f>IF(E42=3,"EE+2","EC")</f>
        <v>EC</v>
      </c>
      <c r="L16" s="15" t="str">
        <f>IF(E42=3,"N/A","EF")</f>
        <v>EF</v>
      </c>
      <c r="M16" s="23" t="s">
        <v>35</v>
      </c>
      <c r="N16" s="25" t="s">
        <v>36</v>
      </c>
      <c r="O16" s="15" t="s">
        <v>37</v>
      </c>
      <c r="P16" s="16" t="s">
        <v>38</v>
      </c>
      <c r="Q16" s="16" t="s">
        <v>39</v>
      </c>
      <c r="R16" s="16" t="s">
        <v>1867</v>
      </c>
      <c r="S16" s="22" t="s">
        <v>40</v>
      </c>
      <c r="T16" s="63"/>
    </row>
    <row r="17" spans="1:20" x14ac:dyDescent="0.2">
      <c r="A17" s="62"/>
      <c r="B17" s="785" t="s">
        <v>1932</v>
      </c>
      <c r="C17" s="786" t="s">
        <v>602</v>
      </c>
      <c r="D17" s="779" t="s">
        <v>1919</v>
      </c>
      <c r="E17" s="780"/>
      <c r="F17" s="781"/>
      <c r="G17" s="781"/>
      <c r="H17" s="711" t="s">
        <v>41</v>
      </c>
      <c r="I17" s="712">
        <v>641</v>
      </c>
      <c r="J17" s="712">
        <v>1442.27</v>
      </c>
      <c r="K17" s="712">
        <v>1249.96</v>
      </c>
      <c r="L17" s="712">
        <v>1999.64</v>
      </c>
      <c r="M17" s="783">
        <f>SUM(I18:L18)</f>
        <v>20</v>
      </c>
      <c r="N17" s="774" t="s">
        <v>1920</v>
      </c>
      <c r="O17" s="774" t="s">
        <v>1921</v>
      </c>
      <c r="P17" s="774" t="s">
        <v>1922</v>
      </c>
      <c r="Q17" s="774" t="s">
        <v>1923</v>
      </c>
      <c r="R17" s="774" t="s">
        <v>1924</v>
      </c>
      <c r="S17" s="789" t="s">
        <v>1925</v>
      </c>
      <c r="T17" s="63"/>
    </row>
    <row r="18" spans="1:20" x14ac:dyDescent="0.2">
      <c r="A18" s="62"/>
      <c r="B18" s="785"/>
      <c r="C18" s="787"/>
      <c r="D18" s="779"/>
      <c r="E18" s="780"/>
      <c r="F18" s="781"/>
      <c r="G18" s="781"/>
      <c r="H18" s="713" t="s">
        <v>42</v>
      </c>
      <c r="I18" s="714">
        <v>11</v>
      </c>
      <c r="J18" s="714">
        <v>6</v>
      </c>
      <c r="K18" s="714">
        <v>1</v>
      </c>
      <c r="L18" s="714">
        <v>2</v>
      </c>
      <c r="M18" s="784"/>
      <c r="N18" s="775"/>
      <c r="O18" s="775"/>
      <c r="P18" s="775"/>
      <c r="Q18" s="775"/>
      <c r="R18" s="775"/>
      <c r="S18" s="789"/>
      <c r="T18" s="63"/>
    </row>
    <row r="19" spans="1:20" x14ac:dyDescent="0.2">
      <c r="A19" s="62"/>
      <c r="B19" s="785" t="s">
        <v>1932</v>
      </c>
      <c r="C19" s="786" t="s">
        <v>602</v>
      </c>
      <c r="D19" s="779" t="s">
        <v>1933</v>
      </c>
      <c r="E19" s="780"/>
      <c r="F19" s="781"/>
      <c r="G19" s="782"/>
      <c r="H19" s="711" t="s">
        <v>41</v>
      </c>
      <c r="I19" s="712">
        <v>506.73</v>
      </c>
      <c r="J19" s="712">
        <v>1140.1300000000001</v>
      </c>
      <c r="K19" s="712">
        <v>913.28</v>
      </c>
      <c r="L19" s="712">
        <v>1580.96</v>
      </c>
      <c r="M19" s="783">
        <f>SUM(I20:L20)</f>
        <v>137</v>
      </c>
      <c r="N19" s="774" t="s">
        <v>1920</v>
      </c>
      <c r="O19" s="774" t="s">
        <v>1921</v>
      </c>
      <c r="P19" s="774" t="s">
        <v>1931</v>
      </c>
      <c r="Q19" s="774" t="s">
        <v>1923</v>
      </c>
      <c r="R19" s="774" t="s">
        <v>1924</v>
      </c>
      <c r="S19" s="789" t="s">
        <v>1925</v>
      </c>
      <c r="T19" s="63"/>
    </row>
    <row r="20" spans="1:20" x14ac:dyDescent="0.2">
      <c r="A20" s="62"/>
      <c r="B20" s="785"/>
      <c r="C20" s="787"/>
      <c r="D20" s="779"/>
      <c r="E20" s="780"/>
      <c r="F20" s="781"/>
      <c r="G20" s="782"/>
      <c r="H20" s="713" t="s">
        <v>42</v>
      </c>
      <c r="I20" s="714">
        <v>61</v>
      </c>
      <c r="J20" s="714">
        <v>24</v>
      </c>
      <c r="K20" s="714">
        <v>12</v>
      </c>
      <c r="L20" s="714">
        <v>40</v>
      </c>
      <c r="M20" s="784"/>
      <c r="N20" s="775"/>
      <c r="O20" s="775"/>
      <c r="P20" s="775"/>
      <c r="Q20" s="775"/>
      <c r="R20" s="775"/>
      <c r="S20" s="789"/>
      <c r="T20" s="63"/>
    </row>
    <row r="21" spans="1:20" x14ac:dyDescent="0.2">
      <c r="A21" s="62"/>
      <c r="B21" s="785" t="s">
        <v>1932</v>
      </c>
      <c r="C21" s="786" t="s">
        <v>577</v>
      </c>
      <c r="D21" s="779" t="s">
        <v>577</v>
      </c>
      <c r="E21" s="780"/>
      <c r="F21" s="781"/>
      <c r="G21" s="782"/>
      <c r="H21" s="711" t="s">
        <v>41</v>
      </c>
      <c r="I21" s="712">
        <v>826.94</v>
      </c>
      <c r="J21" s="712">
        <v>1860.64</v>
      </c>
      <c r="K21" s="712">
        <v>1612.57</v>
      </c>
      <c r="L21" s="712">
        <v>2580.12</v>
      </c>
      <c r="M21" s="783">
        <f>SUM(I22:L22)</f>
        <v>8</v>
      </c>
      <c r="N21" s="774" t="s">
        <v>1926</v>
      </c>
      <c r="O21" s="774" t="s">
        <v>1927</v>
      </c>
      <c r="P21" s="774" t="s">
        <v>1928</v>
      </c>
      <c r="Q21" s="774" t="s">
        <v>1929</v>
      </c>
      <c r="R21" s="774" t="s">
        <v>1929</v>
      </c>
      <c r="S21" s="789" t="s">
        <v>1930</v>
      </c>
      <c r="T21" s="63"/>
    </row>
    <row r="22" spans="1:20" x14ac:dyDescent="0.2">
      <c r="A22" s="62"/>
      <c r="B22" s="785"/>
      <c r="C22" s="787"/>
      <c r="D22" s="779"/>
      <c r="E22" s="780"/>
      <c r="F22" s="781"/>
      <c r="G22" s="782"/>
      <c r="H22" s="713" t="s">
        <v>42</v>
      </c>
      <c r="I22" s="714">
        <v>4</v>
      </c>
      <c r="J22" s="714">
        <v>3</v>
      </c>
      <c r="K22" s="714">
        <v>0</v>
      </c>
      <c r="L22" s="714">
        <v>1</v>
      </c>
      <c r="M22" s="784"/>
      <c r="N22" s="775"/>
      <c r="O22" s="775"/>
      <c r="P22" s="775"/>
      <c r="Q22" s="775"/>
      <c r="R22" s="775"/>
      <c r="S22" s="789"/>
      <c r="T22" s="63"/>
    </row>
    <row r="23" spans="1:20" x14ac:dyDescent="0.2">
      <c r="A23" s="62"/>
      <c r="B23" s="795"/>
      <c r="C23" s="807"/>
      <c r="D23" s="797"/>
      <c r="E23" s="798"/>
      <c r="F23" s="801"/>
      <c r="G23" s="803"/>
      <c r="H23" s="29" t="s">
        <v>41</v>
      </c>
      <c r="I23" s="30"/>
      <c r="J23" s="30"/>
      <c r="K23" s="30"/>
      <c r="L23" s="30"/>
      <c r="M23" s="783">
        <f>SUM(I24:L24)</f>
        <v>0</v>
      </c>
      <c r="N23" s="774"/>
      <c r="O23" s="774"/>
      <c r="P23" s="774"/>
      <c r="Q23" s="774"/>
      <c r="R23" s="774"/>
      <c r="S23" s="789"/>
      <c r="T23" s="63"/>
    </row>
    <row r="24" spans="1:20" x14ac:dyDescent="0.2">
      <c r="A24" s="62"/>
      <c r="B24" s="795"/>
      <c r="C24" s="813"/>
      <c r="D24" s="797"/>
      <c r="E24" s="798"/>
      <c r="F24" s="801"/>
      <c r="G24" s="803"/>
      <c r="H24" s="27" t="s">
        <v>42</v>
      </c>
      <c r="I24" s="28"/>
      <c r="J24" s="28"/>
      <c r="K24" s="28"/>
      <c r="L24" s="28"/>
      <c r="M24" s="784"/>
      <c r="N24" s="775"/>
      <c r="O24" s="775"/>
      <c r="P24" s="775"/>
      <c r="Q24" s="775"/>
      <c r="R24" s="775"/>
      <c r="S24" s="789"/>
      <c r="T24" s="63"/>
    </row>
    <row r="25" spans="1:20" ht="14.5" customHeight="1" x14ac:dyDescent="0.2">
      <c r="A25" s="62"/>
      <c r="B25" s="795"/>
      <c r="C25" s="807"/>
      <c r="D25" s="797"/>
      <c r="E25" s="798"/>
      <c r="F25" s="801"/>
      <c r="G25" s="803"/>
      <c r="H25" s="29" t="s">
        <v>41</v>
      </c>
      <c r="I25" s="30"/>
      <c r="J25" s="30"/>
      <c r="K25" s="30"/>
      <c r="L25" s="30"/>
      <c r="M25" s="783">
        <f>SUM(I26:L26)</f>
        <v>0</v>
      </c>
      <c r="N25" s="774"/>
      <c r="O25" s="774"/>
      <c r="P25" s="774"/>
      <c r="Q25" s="774"/>
      <c r="R25" s="774"/>
      <c r="S25" s="789"/>
      <c r="T25" s="63"/>
    </row>
    <row r="26" spans="1:20" ht="14.5" customHeight="1" x14ac:dyDescent="0.2">
      <c r="A26" s="62"/>
      <c r="B26" s="795"/>
      <c r="C26" s="813"/>
      <c r="D26" s="797"/>
      <c r="E26" s="798"/>
      <c r="F26" s="801"/>
      <c r="G26" s="803"/>
      <c r="H26" s="27" t="s">
        <v>42</v>
      </c>
      <c r="I26" s="28"/>
      <c r="J26" s="28"/>
      <c r="K26" s="28"/>
      <c r="L26" s="28"/>
      <c r="M26" s="784"/>
      <c r="N26" s="775"/>
      <c r="O26" s="775"/>
      <c r="P26" s="775"/>
      <c r="Q26" s="775"/>
      <c r="R26" s="775"/>
      <c r="S26" s="789"/>
      <c r="T26" s="63"/>
    </row>
    <row r="27" spans="1:20" ht="14.5" customHeight="1" x14ac:dyDescent="0.2">
      <c r="A27" s="62"/>
      <c r="B27" s="795"/>
      <c r="C27" s="807"/>
      <c r="D27" s="797"/>
      <c r="E27" s="798"/>
      <c r="F27" s="801"/>
      <c r="G27" s="803"/>
      <c r="H27" s="29" t="s">
        <v>41</v>
      </c>
      <c r="I27" s="30"/>
      <c r="J27" s="30"/>
      <c r="K27" s="30"/>
      <c r="L27" s="30"/>
      <c r="M27" s="783">
        <f>SUM(I28:L28)</f>
        <v>0</v>
      </c>
      <c r="N27" s="774"/>
      <c r="O27" s="774"/>
      <c r="P27" s="774"/>
      <c r="Q27" s="774"/>
      <c r="R27" s="774"/>
      <c r="S27" s="789"/>
      <c r="T27" s="63"/>
    </row>
    <row r="28" spans="1:20" ht="14.5" customHeight="1" x14ac:dyDescent="0.2">
      <c r="A28" s="62"/>
      <c r="B28" s="795"/>
      <c r="C28" s="813"/>
      <c r="D28" s="797"/>
      <c r="E28" s="798"/>
      <c r="F28" s="801"/>
      <c r="G28" s="803"/>
      <c r="H28" s="27" t="s">
        <v>42</v>
      </c>
      <c r="I28" s="28"/>
      <c r="J28" s="28"/>
      <c r="K28" s="28"/>
      <c r="L28" s="28"/>
      <c r="M28" s="784"/>
      <c r="N28" s="775"/>
      <c r="O28" s="775"/>
      <c r="P28" s="775"/>
      <c r="Q28" s="775"/>
      <c r="R28" s="775"/>
      <c r="S28" s="789"/>
      <c r="T28" s="63"/>
    </row>
    <row r="29" spans="1:20" ht="14.5" hidden="1" customHeight="1" x14ac:dyDescent="0.2">
      <c r="A29" s="62"/>
      <c r="B29" s="795"/>
      <c r="C29" s="807"/>
      <c r="D29" s="797"/>
      <c r="E29" s="798"/>
      <c r="F29" s="801"/>
      <c r="G29" s="803"/>
      <c r="H29" s="29" t="s">
        <v>41</v>
      </c>
      <c r="I29" s="30"/>
      <c r="J29" s="30"/>
      <c r="K29" s="30"/>
      <c r="L29" s="30"/>
      <c r="M29" s="783">
        <f>SUM(I30:L30)</f>
        <v>0</v>
      </c>
      <c r="N29" s="774"/>
      <c r="O29" s="774"/>
      <c r="P29" s="774"/>
      <c r="Q29" s="774"/>
      <c r="R29" s="774"/>
      <c r="S29" s="789"/>
      <c r="T29" s="63"/>
    </row>
    <row r="30" spans="1:20" ht="14.5" hidden="1" customHeight="1" x14ac:dyDescent="0.2">
      <c r="A30" s="62"/>
      <c r="B30" s="795"/>
      <c r="C30" s="813"/>
      <c r="D30" s="797"/>
      <c r="E30" s="798"/>
      <c r="F30" s="801"/>
      <c r="G30" s="803"/>
      <c r="H30" s="27" t="s">
        <v>42</v>
      </c>
      <c r="I30" s="28"/>
      <c r="J30" s="28"/>
      <c r="K30" s="28"/>
      <c r="L30" s="28"/>
      <c r="M30" s="784"/>
      <c r="N30" s="775"/>
      <c r="O30" s="775"/>
      <c r="P30" s="775"/>
      <c r="Q30" s="775"/>
      <c r="R30" s="775"/>
      <c r="S30" s="789"/>
      <c r="T30" s="63"/>
    </row>
    <row r="31" spans="1:20" ht="14.5" hidden="1" customHeight="1" x14ac:dyDescent="0.2">
      <c r="A31" s="62"/>
      <c r="B31" s="795"/>
      <c r="C31" s="807"/>
      <c r="D31" s="797"/>
      <c r="E31" s="798"/>
      <c r="F31" s="801"/>
      <c r="G31" s="803"/>
      <c r="H31" s="29" t="s">
        <v>41</v>
      </c>
      <c r="I31" s="30"/>
      <c r="J31" s="30"/>
      <c r="K31" s="30"/>
      <c r="L31" s="30"/>
      <c r="M31" s="783">
        <f>SUM(I32:L32)</f>
        <v>0</v>
      </c>
      <c r="N31" s="774"/>
      <c r="O31" s="774"/>
      <c r="P31" s="774"/>
      <c r="Q31" s="774"/>
      <c r="R31" s="774"/>
      <c r="S31" s="789"/>
      <c r="T31" s="63"/>
    </row>
    <row r="32" spans="1:20" ht="14.5" hidden="1" customHeight="1" x14ac:dyDescent="0.2">
      <c r="A32" s="62"/>
      <c r="B32" s="795"/>
      <c r="C32" s="813"/>
      <c r="D32" s="797"/>
      <c r="E32" s="798"/>
      <c r="F32" s="801"/>
      <c r="G32" s="803"/>
      <c r="H32" s="27" t="s">
        <v>42</v>
      </c>
      <c r="I32" s="28"/>
      <c r="J32" s="28"/>
      <c r="K32" s="28"/>
      <c r="L32" s="28"/>
      <c r="M32" s="784"/>
      <c r="N32" s="775"/>
      <c r="O32" s="775"/>
      <c r="P32" s="775"/>
      <c r="Q32" s="775"/>
      <c r="R32" s="775"/>
      <c r="S32" s="789"/>
      <c r="T32" s="63"/>
    </row>
    <row r="33" spans="1:20" ht="14.5" hidden="1" customHeight="1" x14ac:dyDescent="0.2">
      <c r="A33" s="62"/>
      <c r="B33" s="795"/>
      <c r="C33" s="807"/>
      <c r="D33" s="797"/>
      <c r="E33" s="798"/>
      <c r="F33" s="801"/>
      <c r="G33" s="803"/>
      <c r="H33" s="29" t="s">
        <v>41</v>
      </c>
      <c r="I33" s="30"/>
      <c r="J33" s="30"/>
      <c r="K33" s="30"/>
      <c r="L33" s="30"/>
      <c r="M33" s="783">
        <f>SUM(I34:L34)</f>
        <v>0</v>
      </c>
      <c r="N33" s="774"/>
      <c r="O33" s="774"/>
      <c r="P33" s="774"/>
      <c r="Q33" s="774"/>
      <c r="R33" s="774"/>
      <c r="S33" s="789"/>
      <c r="T33" s="63"/>
    </row>
    <row r="34" spans="1:20" ht="14.5" hidden="1" customHeight="1" x14ac:dyDescent="0.2">
      <c r="A34" s="62"/>
      <c r="B34" s="795"/>
      <c r="C34" s="813"/>
      <c r="D34" s="797"/>
      <c r="E34" s="798"/>
      <c r="F34" s="801"/>
      <c r="G34" s="803"/>
      <c r="H34" s="27" t="s">
        <v>42</v>
      </c>
      <c r="I34" s="28"/>
      <c r="J34" s="28"/>
      <c r="K34" s="28"/>
      <c r="L34" s="28"/>
      <c r="M34" s="784"/>
      <c r="N34" s="775"/>
      <c r="O34" s="775"/>
      <c r="P34" s="775"/>
      <c r="Q34" s="775"/>
      <c r="R34" s="775"/>
      <c r="S34" s="789"/>
      <c r="T34" s="63"/>
    </row>
    <row r="35" spans="1:20" ht="14.5" hidden="1" customHeight="1" x14ac:dyDescent="0.2">
      <c r="A35" s="62"/>
      <c r="B35" s="795"/>
      <c r="C35" s="807"/>
      <c r="D35" s="797"/>
      <c r="E35" s="798"/>
      <c r="F35" s="801"/>
      <c r="G35" s="803"/>
      <c r="H35" s="29" t="s">
        <v>41</v>
      </c>
      <c r="I35" s="30"/>
      <c r="J35" s="30"/>
      <c r="K35" s="30"/>
      <c r="L35" s="30"/>
      <c r="M35" s="783">
        <f>SUM(I36:L36)</f>
        <v>0</v>
      </c>
      <c r="N35" s="805"/>
      <c r="O35" s="774"/>
      <c r="P35" s="774"/>
      <c r="Q35" s="774"/>
      <c r="R35" s="774"/>
      <c r="S35" s="789"/>
      <c r="T35" s="63"/>
    </row>
    <row r="36" spans="1:20" ht="14.5" hidden="1" customHeight="1" thickBot="1" x14ac:dyDescent="0.25">
      <c r="A36" s="64"/>
      <c r="B36" s="796"/>
      <c r="C36" s="808"/>
      <c r="D36" s="799"/>
      <c r="E36" s="800"/>
      <c r="F36" s="802"/>
      <c r="G36" s="804"/>
      <c r="H36" s="52" t="s">
        <v>42</v>
      </c>
      <c r="I36" s="602"/>
      <c r="J36" s="602"/>
      <c r="K36" s="602"/>
      <c r="L36" s="602"/>
      <c r="M36" s="812"/>
      <c r="N36" s="806"/>
      <c r="O36" s="788"/>
      <c r="P36" s="788"/>
      <c r="Q36" s="788"/>
      <c r="R36" s="788"/>
      <c r="S36" s="790"/>
      <c r="T36" s="63"/>
    </row>
    <row r="37" spans="1:20" x14ac:dyDescent="0.2">
      <c r="A37" s="62"/>
      <c r="B37" s="12"/>
      <c r="C37" s="12"/>
      <c r="D37" s="12"/>
      <c r="E37" s="12"/>
      <c r="F37" s="1"/>
      <c r="G37" s="1"/>
      <c r="H37" s="1"/>
      <c r="I37" s="1"/>
      <c r="J37" s="1"/>
      <c r="K37" s="45"/>
      <c r="L37" s="46" t="s">
        <v>43</v>
      </c>
      <c r="M37" s="47">
        <f>SUM(M17:M36)</f>
        <v>165</v>
      </c>
      <c r="N37" s="7"/>
      <c r="O37" s="7"/>
      <c r="P37" s="7"/>
      <c r="Q37" s="7"/>
      <c r="R37" s="7"/>
      <c r="S37" s="12"/>
      <c r="T37" s="63"/>
    </row>
    <row r="38" spans="1:20" ht="16" thickBot="1" x14ac:dyDescent="0.25">
      <c r="A38" s="62"/>
      <c r="B38" s="4"/>
      <c r="C38" s="4"/>
      <c r="D38" s="4"/>
      <c r="E38" s="4"/>
      <c r="F38" s="4"/>
      <c r="G38" s="4"/>
      <c r="H38" s="4"/>
      <c r="I38" s="4"/>
      <c r="J38" s="4"/>
      <c r="K38" s="4"/>
      <c r="L38" s="4"/>
      <c r="M38" s="7"/>
      <c r="N38" s="4"/>
      <c r="O38" s="4"/>
      <c r="P38" s="4"/>
      <c r="Q38" s="4"/>
      <c r="R38" s="4"/>
      <c r="S38" s="4"/>
      <c r="T38" s="63"/>
    </row>
    <row r="39" spans="1:20" ht="16" x14ac:dyDescent="0.2">
      <c r="A39" s="62"/>
      <c r="B39" s="791" t="s">
        <v>1722</v>
      </c>
      <c r="C39" s="792"/>
      <c r="D39" s="793"/>
      <c r="E39" s="793"/>
      <c r="F39" s="793"/>
      <c r="G39" s="793"/>
      <c r="H39" s="793"/>
      <c r="I39" s="793"/>
      <c r="J39" s="793"/>
      <c r="K39" s="793"/>
      <c r="L39" s="794"/>
      <c r="M39" s="7"/>
      <c r="N39" s="809" t="s">
        <v>1723</v>
      </c>
      <c r="O39" s="810"/>
      <c r="P39" s="810"/>
      <c r="Q39" s="810"/>
      <c r="R39" s="810"/>
      <c r="S39" s="811"/>
      <c r="T39" s="65"/>
    </row>
    <row r="40" spans="1:20" ht="15.5" customHeight="1" x14ac:dyDescent="0.2">
      <c r="A40" s="62"/>
      <c r="B40" s="726" t="s">
        <v>44</v>
      </c>
      <c r="C40" s="727"/>
      <c r="D40" s="728"/>
      <c r="E40" s="759">
        <v>0.04</v>
      </c>
      <c r="F40" s="760"/>
      <c r="G40" s="760"/>
      <c r="H40" s="761"/>
      <c r="I40" s="583"/>
      <c r="J40" s="583"/>
      <c r="K40" s="583"/>
      <c r="L40" s="584"/>
      <c r="M40" s="7"/>
      <c r="N40" s="648" t="str">
        <f>IF(N11="Yes-See Section 6","Please review UW Tab due to the following:","")</f>
        <v/>
      </c>
      <c r="O40" s="71"/>
      <c r="P40" s="71"/>
      <c r="Q40" s="71"/>
      <c r="R40" s="71"/>
      <c r="S40" s="649" t="s">
        <v>1887</v>
      </c>
      <c r="T40" s="66"/>
    </row>
    <row r="41" spans="1:20" x14ac:dyDescent="0.2">
      <c r="A41" s="62"/>
      <c r="B41" s="726" t="s">
        <v>1860</v>
      </c>
      <c r="C41" s="727"/>
      <c r="D41" s="728"/>
      <c r="E41" s="905" t="s">
        <v>1934</v>
      </c>
      <c r="F41" s="906"/>
      <c r="G41" s="906"/>
      <c r="H41" s="907"/>
      <c r="I41" s="729"/>
      <c r="J41" s="729"/>
      <c r="K41" s="7"/>
      <c r="L41" s="53"/>
      <c r="M41" s="7"/>
      <c r="N41" s="208" t="s">
        <v>65</v>
      </c>
      <c r="O41" s="209"/>
      <c r="P41" s="209"/>
      <c r="Q41" s="209"/>
      <c r="R41" s="209"/>
      <c r="S41" s="210"/>
      <c r="T41" s="66"/>
    </row>
    <row r="42" spans="1:20" x14ac:dyDescent="0.2">
      <c r="A42" s="62"/>
      <c r="B42" s="726" t="s">
        <v>1861</v>
      </c>
      <c r="C42" s="727"/>
      <c r="D42" s="728"/>
      <c r="E42" s="908">
        <v>4</v>
      </c>
      <c r="F42" s="909"/>
      <c r="G42" s="909"/>
      <c r="H42" s="910"/>
      <c r="I42" s="729"/>
      <c r="J42" s="729"/>
      <c r="K42" s="7"/>
      <c r="L42" s="53"/>
      <c r="M42" s="7"/>
      <c r="N42" s="849"/>
      <c r="O42" s="850"/>
      <c r="P42" s="850"/>
      <c r="Q42" s="850"/>
      <c r="R42" s="850"/>
      <c r="S42" s="851"/>
      <c r="T42" s="66"/>
    </row>
    <row r="43" spans="1:20" ht="16" thickBot="1" x14ac:dyDescent="0.25">
      <c r="A43" s="62"/>
      <c r="B43" s="732" t="s">
        <v>1862</v>
      </c>
      <c r="C43" s="733"/>
      <c r="D43" s="734"/>
      <c r="E43" s="911" t="s">
        <v>52</v>
      </c>
      <c r="F43" s="912"/>
      <c r="G43" s="912"/>
      <c r="H43" s="913"/>
      <c r="I43" s="729"/>
      <c r="J43" s="729"/>
      <c r="K43" s="7"/>
      <c r="L43" s="53"/>
      <c r="M43" s="7"/>
      <c r="N43" s="849"/>
      <c r="O43" s="850"/>
      <c r="P43" s="850"/>
      <c r="Q43" s="850"/>
      <c r="R43" s="850"/>
      <c r="S43" s="851"/>
      <c r="T43" s="66"/>
    </row>
    <row r="44" spans="1:20" x14ac:dyDescent="0.2">
      <c r="A44" s="62"/>
      <c r="B44" s="735" t="s">
        <v>45</v>
      </c>
      <c r="C44" s="736"/>
      <c r="D44" s="737"/>
      <c r="E44" s="914"/>
      <c r="F44" s="914"/>
      <c r="G44" s="914"/>
      <c r="H44" s="914"/>
      <c r="I44" s="914"/>
      <c r="J44" s="914"/>
      <c r="K44" s="914"/>
      <c r="L44" s="54"/>
      <c r="M44" s="7"/>
      <c r="N44" s="849"/>
      <c r="O44" s="850"/>
      <c r="P44" s="850"/>
      <c r="Q44" s="850"/>
      <c r="R44" s="850"/>
      <c r="S44" s="851"/>
      <c r="T44" s="66"/>
    </row>
    <row r="45" spans="1:20" x14ac:dyDescent="0.2">
      <c r="A45" s="62"/>
      <c r="B45" s="730" t="s">
        <v>46</v>
      </c>
      <c r="C45" s="731"/>
      <c r="D45" s="727"/>
      <c r="E45" s="762"/>
      <c r="F45" s="762"/>
      <c r="G45" s="762"/>
      <c r="H45" s="762"/>
      <c r="I45" s="762"/>
      <c r="J45" s="762"/>
      <c r="K45" s="762"/>
      <c r="L45" s="54"/>
      <c r="M45" s="7"/>
      <c r="N45" s="849"/>
      <c r="O45" s="850"/>
      <c r="P45" s="850"/>
      <c r="Q45" s="850"/>
      <c r="R45" s="850"/>
      <c r="S45" s="851"/>
      <c r="T45" s="63"/>
    </row>
    <row r="46" spans="1:20" ht="16" thickBot="1" x14ac:dyDescent="0.25">
      <c r="A46" s="62"/>
      <c r="B46" s="585" t="s">
        <v>47</v>
      </c>
      <c r="C46" s="586"/>
      <c r="D46" s="579"/>
      <c r="E46" s="762"/>
      <c r="F46" s="762"/>
      <c r="G46" s="763"/>
      <c r="H46" s="763"/>
      <c r="I46" s="763"/>
      <c r="J46" s="763"/>
      <c r="K46" s="763"/>
      <c r="L46" s="54"/>
      <c r="M46" s="7"/>
      <c r="N46" s="852"/>
      <c r="O46" s="853"/>
      <c r="P46" s="853"/>
      <c r="Q46" s="853"/>
      <c r="R46" s="853"/>
      <c r="S46" s="854"/>
      <c r="T46" s="63"/>
    </row>
    <row r="47" spans="1:20" ht="16" thickBot="1" x14ac:dyDescent="0.25">
      <c r="A47" s="62"/>
      <c r="B47" s="585" t="s">
        <v>48</v>
      </c>
      <c r="C47" s="586"/>
      <c r="D47" s="579"/>
      <c r="E47" s="762"/>
      <c r="F47" s="762"/>
      <c r="G47" s="763"/>
      <c r="H47" s="763"/>
      <c r="I47" s="763"/>
      <c r="J47" s="763"/>
      <c r="K47" s="763"/>
      <c r="L47" s="54"/>
      <c r="M47" s="7"/>
      <c r="N47" s="70"/>
      <c r="O47" s="70"/>
      <c r="P47" s="70"/>
      <c r="Q47" s="70"/>
      <c r="R47" s="70"/>
      <c r="S47" s="70"/>
      <c r="T47" s="63"/>
    </row>
    <row r="48" spans="1:20" ht="60" customHeight="1" thickBot="1" x14ac:dyDescent="0.25">
      <c r="A48" s="62"/>
      <c r="B48" s="587" t="s">
        <v>49</v>
      </c>
      <c r="C48" s="588"/>
      <c r="D48" s="589"/>
      <c r="E48" s="902" t="s">
        <v>1917</v>
      </c>
      <c r="F48" s="903"/>
      <c r="G48" s="903"/>
      <c r="H48" s="903"/>
      <c r="I48" s="903"/>
      <c r="J48" s="903"/>
      <c r="K48" s="904"/>
      <c r="L48" s="56"/>
      <c r="M48" s="7"/>
      <c r="N48" s="809" t="s">
        <v>1822</v>
      </c>
      <c r="O48" s="810"/>
      <c r="P48" s="810"/>
      <c r="Q48" s="810"/>
      <c r="R48" s="810"/>
      <c r="S48" s="811"/>
      <c r="T48" s="63"/>
    </row>
    <row r="49" spans="1:22" ht="19.25" customHeight="1" thickBot="1" x14ac:dyDescent="0.25">
      <c r="A49" s="62"/>
      <c r="B49" s="207" t="s">
        <v>50</v>
      </c>
      <c r="C49" s="206"/>
      <c r="D49" s="4"/>
      <c r="E49" s="4"/>
      <c r="F49" s="4"/>
      <c r="G49" s="4"/>
      <c r="H49" s="4"/>
      <c r="I49" s="4"/>
      <c r="J49" s="4"/>
      <c r="K49" s="4"/>
      <c r="L49" s="4"/>
      <c r="M49" s="7"/>
      <c r="N49" s="878" t="s">
        <v>601</v>
      </c>
      <c r="O49" s="879"/>
      <c r="P49" s="879"/>
      <c r="Q49" s="879"/>
      <c r="R49" s="879"/>
      <c r="S49" s="478">
        <f>N5</f>
        <v>182</v>
      </c>
      <c r="T49" s="63"/>
    </row>
    <row r="50" spans="1:22" ht="16" x14ac:dyDescent="0.2">
      <c r="A50" s="62"/>
      <c r="B50" s="791" t="s">
        <v>1724</v>
      </c>
      <c r="C50" s="792"/>
      <c r="D50" s="793"/>
      <c r="E50" s="793"/>
      <c r="F50" s="793"/>
      <c r="G50" s="793"/>
      <c r="H50" s="793"/>
      <c r="I50" s="793"/>
      <c r="J50" s="793"/>
      <c r="K50" s="793"/>
      <c r="L50" s="794"/>
      <c r="M50" s="7"/>
      <c r="N50" s="880" t="s">
        <v>603</v>
      </c>
      <c r="O50" s="881"/>
      <c r="P50" s="881"/>
      <c r="Q50" s="881"/>
      <c r="R50" s="881"/>
      <c r="S50" s="479">
        <f>N7</f>
        <v>0</v>
      </c>
      <c r="T50" s="63"/>
    </row>
    <row r="51" spans="1:22" x14ac:dyDescent="0.2">
      <c r="A51" s="62"/>
      <c r="B51" s="870" t="s">
        <v>51</v>
      </c>
      <c r="C51" s="855" t="s">
        <v>52</v>
      </c>
      <c r="D51" s="856"/>
      <c r="E51" s="857"/>
      <c r="F51" s="871" t="s">
        <v>28</v>
      </c>
      <c r="G51" s="871"/>
      <c r="H51" s="875" t="s">
        <v>53</v>
      </c>
      <c r="I51" s="875"/>
      <c r="J51" s="855" t="s">
        <v>1719</v>
      </c>
      <c r="K51" s="856"/>
      <c r="L51" s="857"/>
      <c r="M51" s="7"/>
      <c r="N51" s="880" t="s">
        <v>605</v>
      </c>
      <c r="O51" s="881"/>
      <c r="P51" s="881"/>
      <c r="Q51" s="881"/>
      <c r="R51" s="881"/>
      <c r="S51" s="479">
        <f>+S49-S50</f>
        <v>182</v>
      </c>
      <c r="T51" s="63"/>
    </row>
    <row r="52" spans="1:22" x14ac:dyDescent="0.2">
      <c r="A52" s="62"/>
      <c r="B52" s="870"/>
      <c r="C52" s="858"/>
      <c r="D52" s="859"/>
      <c r="E52" s="860"/>
      <c r="F52" s="17" t="s">
        <v>33</v>
      </c>
      <c r="G52" s="26" t="s">
        <v>34</v>
      </c>
      <c r="H52" s="875"/>
      <c r="I52" s="875"/>
      <c r="J52" s="858"/>
      <c r="K52" s="859"/>
      <c r="L52" s="860"/>
      <c r="M52" s="7"/>
      <c r="N52" s="880" t="s">
        <v>607</v>
      </c>
      <c r="O52" s="881"/>
      <c r="P52" s="881"/>
      <c r="Q52" s="881"/>
      <c r="R52" s="881"/>
      <c r="S52" s="607">
        <f>N6-S53</f>
        <v>165</v>
      </c>
      <c r="T52" s="63"/>
    </row>
    <row r="53" spans="1:22" x14ac:dyDescent="0.2">
      <c r="A53" s="62"/>
      <c r="B53" s="57" t="s">
        <v>54</v>
      </c>
      <c r="C53" s="861" t="s">
        <v>1935</v>
      </c>
      <c r="D53" s="862"/>
      <c r="E53" s="863"/>
      <c r="F53" s="715"/>
      <c r="G53" s="715"/>
      <c r="H53" s="876">
        <v>0.04</v>
      </c>
      <c r="I53" s="876"/>
      <c r="J53" s="861" t="s">
        <v>1939</v>
      </c>
      <c r="K53" s="862"/>
      <c r="L53" s="863"/>
      <c r="M53" s="7"/>
      <c r="N53" s="880" t="s">
        <v>609</v>
      </c>
      <c r="O53" s="881"/>
      <c r="P53" s="881"/>
      <c r="Q53" s="881"/>
      <c r="R53" s="881"/>
      <c r="S53" s="487"/>
      <c r="T53" s="63"/>
    </row>
    <row r="54" spans="1:22" x14ac:dyDescent="0.2">
      <c r="A54" s="62"/>
      <c r="B54" s="57" t="s">
        <v>55</v>
      </c>
      <c r="C54" s="861" t="s">
        <v>1936</v>
      </c>
      <c r="D54" s="862"/>
      <c r="E54" s="863"/>
      <c r="F54" s="715"/>
      <c r="G54" s="715"/>
      <c r="H54" s="876">
        <v>0.1</v>
      </c>
      <c r="I54" s="876"/>
      <c r="J54" s="861" t="s">
        <v>1939</v>
      </c>
      <c r="K54" s="862"/>
      <c r="L54" s="863"/>
      <c r="M54" s="7"/>
      <c r="N54" s="880" t="s">
        <v>611</v>
      </c>
      <c r="O54" s="881"/>
      <c r="P54" s="881"/>
      <c r="Q54" s="881"/>
      <c r="R54" s="881"/>
      <c r="S54" s="479">
        <f>+S53+S52</f>
        <v>165</v>
      </c>
      <c r="T54" s="63"/>
    </row>
    <row r="55" spans="1:22" ht="16" thickBot="1" x14ac:dyDescent="0.25">
      <c r="A55" s="62"/>
      <c r="B55" s="55" t="s">
        <v>56</v>
      </c>
      <c r="C55" s="864"/>
      <c r="D55" s="865"/>
      <c r="E55" s="866"/>
      <c r="F55" s="58"/>
      <c r="G55" s="58"/>
      <c r="H55" s="877"/>
      <c r="I55" s="877"/>
      <c r="J55" s="59"/>
      <c r="K55" s="59"/>
      <c r="L55" s="56"/>
      <c r="M55" s="7"/>
      <c r="N55" s="880" t="s">
        <v>612</v>
      </c>
      <c r="O55" s="881"/>
      <c r="P55" s="881"/>
      <c r="Q55" s="881"/>
      <c r="R55" s="881"/>
      <c r="S55" s="480">
        <f>ROUND(IF(S54=0,0,+S53/S54),2)</f>
        <v>0</v>
      </c>
      <c r="T55" s="63"/>
      <c r="V55" s="563"/>
    </row>
    <row r="56" spans="1:22" ht="16" thickBot="1" x14ac:dyDescent="0.25">
      <c r="A56" s="62"/>
      <c r="B56" s="4"/>
      <c r="C56" s="4"/>
      <c r="D56" s="4"/>
      <c r="E56" s="4"/>
      <c r="F56" s="4"/>
      <c r="G56" s="4"/>
      <c r="H56" s="4"/>
      <c r="I56" s="4"/>
      <c r="J56" s="4"/>
      <c r="K56" s="4"/>
      <c r="L56" s="4"/>
      <c r="M56" s="7"/>
      <c r="N56" s="880" t="s">
        <v>614</v>
      </c>
      <c r="O56" s="881"/>
      <c r="P56" s="881"/>
      <c r="Q56" s="881"/>
      <c r="R56" s="881"/>
      <c r="S56" s="480">
        <f>ROUND(IF(S54=0,0,S54/S49),2)</f>
        <v>0.91</v>
      </c>
      <c r="T56" s="63"/>
      <c r="V56" s="563"/>
    </row>
    <row r="57" spans="1:22" ht="17" thickBot="1" x14ac:dyDescent="0.25">
      <c r="A57" s="62"/>
      <c r="B57" s="846" t="s">
        <v>1725</v>
      </c>
      <c r="C57" s="847"/>
      <c r="D57" s="848"/>
      <c r="E57" s="848"/>
      <c r="F57" s="848"/>
      <c r="G57" s="848"/>
      <c r="H57" s="848"/>
      <c r="I57" s="793"/>
      <c r="J57" s="793"/>
      <c r="K57" s="793"/>
      <c r="L57" s="794"/>
      <c r="M57" s="7"/>
      <c r="N57" s="882" t="s">
        <v>615</v>
      </c>
      <c r="O57" s="883"/>
      <c r="P57" s="883"/>
      <c r="Q57" s="883"/>
      <c r="R57" s="883"/>
      <c r="S57" s="481">
        <f>ROUND(IF(S54=0,0,S54/S51),2)</f>
        <v>0.91</v>
      </c>
      <c r="T57" s="63"/>
    </row>
    <row r="58" spans="1:22" ht="17" thickBot="1" x14ac:dyDescent="0.25">
      <c r="A58" s="62"/>
      <c r="B58" s="843" t="s">
        <v>62</v>
      </c>
      <c r="C58" s="844"/>
      <c r="D58" s="844"/>
      <c r="E58" s="844"/>
      <c r="F58" s="844"/>
      <c r="G58" s="844"/>
      <c r="H58" s="845"/>
      <c r="I58" s="31"/>
      <c r="J58" s="4"/>
      <c r="K58" s="4"/>
      <c r="L58" s="4"/>
      <c r="M58" s="7"/>
      <c r="N58" s="4"/>
      <c r="O58" s="4"/>
      <c r="P58" s="4"/>
      <c r="Q58" s="4"/>
      <c r="R58" s="4"/>
      <c r="S58" s="4"/>
      <c r="T58" s="63"/>
    </row>
    <row r="59" spans="1:22" x14ac:dyDescent="0.2">
      <c r="A59" s="62"/>
      <c r="B59" s="744" t="s">
        <v>15</v>
      </c>
      <c r="C59" s="745"/>
      <c r="D59" s="746"/>
      <c r="E59" s="867" t="str">
        <f>E8</f>
        <v>DEVSALE_FIRST_NAME DEVSALE_LAST_NAME</v>
      </c>
      <c r="F59" s="868"/>
      <c r="G59" s="868"/>
      <c r="H59" s="869"/>
      <c r="I59" s="7"/>
      <c r="J59" s="7"/>
      <c r="K59" s="4"/>
      <c r="L59" s="4"/>
      <c r="M59" s="7"/>
      <c r="N59" s="887"/>
      <c r="O59" s="888"/>
      <c r="P59" s="889"/>
      <c r="Q59" s="893" t="s">
        <v>602</v>
      </c>
      <c r="R59" s="893"/>
      <c r="S59" s="482" t="s">
        <v>577</v>
      </c>
      <c r="T59" s="63"/>
    </row>
    <row r="60" spans="1:22" ht="15.5" customHeight="1" x14ac:dyDescent="0.2">
      <c r="A60" s="62"/>
      <c r="B60" s="738" t="s">
        <v>21</v>
      </c>
      <c r="C60" s="739"/>
      <c r="D60" s="740"/>
      <c r="E60" s="747" t="str">
        <f>E10</f>
        <v>Conor Brumfield</v>
      </c>
      <c r="F60" s="748"/>
      <c r="G60" s="748"/>
      <c r="H60" s="749"/>
      <c r="I60" s="7"/>
      <c r="J60" s="7"/>
      <c r="K60" s="4"/>
      <c r="L60" s="4"/>
      <c r="M60" s="7"/>
      <c r="N60" s="890" t="s">
        <v>1824</v>
      </c>
      <c r="O60" s="891"/>
      <c r="P60" s="891"/>
      <c r="Q60" s="891"/>
      <c r="R60" s="891"/>
      <c r="S60" s="892"/>
      <c r="T60" s="63"/>
    </row>
    <row r="61" spans="1:22" x14ac:dyDescent="0.2">
      <c r="A61" s="62"/>
      <c r="B61" s="738" t="s">
        <v>11</v>
      </c>
      <c r="C61" s="739"/>
      <c r="D61" s="740"/>
      <c r="E61" s="750">
        <f>E7</f>
        <v>43101</v>
      </c>
      <c r="F61" s="751"/>
      <c r="G61" s="751"/>
      <c r="H61" s="752"/>
      <c r="I61" s="7"/>
      <c r="J61" s="7"/>
      <c r="K61" s="4"/>
      <c r="L61" s="4"/>
      <c r="M61" s="7"/>
      <c r="N61" s="895" t="s">
        <v>604</v>
      </c>
      <c r="O61" s="896"/>
      <c r="P61" s="897"/>
      <c r="Q61" s="898">
        <f>IF($S$49=0,"",'PART ADJ 2'!$C$5)</f>
        <v>1</v>
      </c>
      <c r="R61" s="899"/>
      <c r="S61" s="483">
        <f>Q61</f>
        <v>1</v>
      </c>
      <c r="T61" s="63"/>
    </row>
    <row r="62" spans="1:22" x14ac:dyDescent="0.2">
      <c r="A62" s="62"/>
      <c r="B62" s="738" t="s">
        <v>7</v>
      </c>
      <c r="C62" s="739"/>
      <c r="D62" s="740"/>
      <c r="E62" s="753">
        <f>R5</f>
        <v>42998</v>
      </c>
      <c r="F62" s="754"/>
      <c r="G62" s="754"/>
      <c r="H62" s="755"/>
      <c r="I62" s="7"/>
      <c r="J62" s="7"/>
      <c r="K62" s="4"/>
      <c r="L62" s="4"/>
      <c r="M62" s="7"/>
      <c r="N62" s="900" t="s">
        <v>606</v>
      </c>
      <c r="O62" s="900"/>
      <c r="P62" s="900"/>
      <c r="Q62" s="901">
        <f>IF($S$49=0,"",'PART ADJ 2'!$D$9)</f>
        <v>1</v>
      </c>
      <c r="R62" s="901"/>
      <c r="S62" s="484">
        <f>IF($S$49=0,"",'PART ADJ 2'!$D$10)</f>
        <v>1</v>
      </c>
      <c r="T62" s="63"/>
    </row>
    <row r="63" spans="1:22" x14ac:dyDescent="0.2">
      <c r="A63" s="62"/>
      <c r="B63" s="741" t="s">
        <v>5</v>
      </c>
      <c r="C63" s="742"/>
      <c r="D63" s="743"/>
      <c r="E63" s="747">
        <f>J5</f>
        <v>1542</v>
      </c>
      <c r="F63" s="748"/>
      <c r="G63" s="748"/>
      <c r="H63" s="749"/>
      <c r="I63" s="7"/>
      <c r="J63" s="7"/>
      <c r="K63" s="4"/>
      <c r="L63" s="4"/>
      <c r="M63" s="7"/>
      <c r="N63" s="884" t="s">
        <v>1823</v>
      </c>
      <c r="O63" s="884"/>
      <c r="P63" s="884"/>
      <c r="Q63" s="894">
        <f>IF($S$49=0,"",ROUND(Q61*Q62,2))</f>
        <v>1</v>
      </c>
      <c r="R63" s="894"/>
      <c r="S63" s="483">
        <f>IF($S$49=0,"",ROUND(S61*S62,2))</f>
        <v>1</v>
      </c>
      <c r="T63" s="63"/>
    </row>
    <row r="64" spans="1:22" x14ac:dyDescent="0.2">
      <c r="A64" s="62"/>
      <c r="B64" s="741" t="s">
        <v>58</v>
      </c>
      <c r="C64" s="742"/>
      <c r="D64" s="743"/>
      <c r="E64" s="747">
        <f>J7</f>
        <v>92078</v>
      </c>
      <c r="F64" s="748"/>
      <c r="G64" s="748"/>
      <c r="H64" s="749"/>
      <c r="I64" s="7"/>
      <c r="J64" s="7"/>
      <c r="K64" s="4"/>
      <c r="L64" s="4"/>
      <c r="M64" s="7"/>
      <c r="N64" s="884" t="s">
        <v>610</v>
      </c>
      <c r="O64" s="884"/>
      <c r="P64" s="884"/>
      <c r="Q64" s="885">
        <f>IF(Q63="","",Q63-1)</f>
        <v>0</v>
      </c>
      <c r="R64" s="886"/>
      <c r="S64" s="485">
        <f>IF(S63="","",S63-1)</f>
        <v>0</v>
      </c>
      <c r="T64" s="63"/>
    </row>
    <row r="65" spans="1:20" x14ac:dyDescent="0.2">
      <c r="A65" s="62"/>
      <c r="B65" s="738" t="s">
        <v>23</v>
      </c>
      <c r="C65" s="739"/>
      <c r="D65" s="740"/>
      <c r="E65" s="747" t="str">
        <f>E11</f>
        <v>Willis Towers</v>
      </c>
      <c r="F65" s="748"/>
      <c r="G65" s="748"/>
      <c r="H65" s="749"/>
      <c r="I65" s="4"/>
      <c r="J65" s="4"/>
      <c r="K65" s="4"/>
      <c r="L65" s="4"/>
      <c r="M65" s="7"/>
      <c r="N65" s="890" t="s">
        <v>1825</v>
      </c>
      <c r="O65" s="891"/>
      <c r="P65" s="891"/>
      <c r="Q65" s="891"/>
      <c r="R65" s="891"/>
      <c r="S65" s="892"/>
      <c r="T65" s="63"/>
    </row>
    <row r="66" spans="1:20" x14ac:dyDescent="0.2">
      <c r="A66" s="62"/>
      <c r="B66" s="741" t="s">
        <v>59</v>
      </c>
      <c r="C66" s="742"/>
      <c r="D66" s="743"/>
      <c r="E66" s="756" t="s">
        <v>1720</v>
      </c>
      <c r="F66" s="757"/>
      <c r="G66" s="757"/>
      <c r="H66" s="758"/>
      <c r="I66" s="4"/>
      <c r="J66" s="4"/>
      <c r="K66" s="4"/>
      <c r="L66" s="4"/>
      <c r="M66" s="7"/>
      <c r="N66" s="895" t="s">
        <v>604</v>
      </c>
      <c r="O66" s="896"/>
      <c r="P66" s="897"/>
      <c r="Q66" s="898">
        <f>IF($S$49=0,"",'PART ADJ 2'!$C$5)</f>
        <v>1</v>
      </c>
      <c r="R66" s="899"/>
      <c r="S66" s="483">
        <f>Q66</f>
        <v>1</v>
      </c>
      <c r="T66" s="63"/>
    </row>
    <row r="67" spans="1:20" x14ac:dyDescent="0.2">
      <c r="A67" s="62"/>
      <c r="B67" s="741" t="s">
        <v>60</v>
      </c>
      <c r="C67" s="742"/>
      <c r="D67" s="743"/>
      <c r="E67" s="837">
        <f>H55</f>
        <v>0</v>
      </c>
      <c r="F67" s="838"/>
      <c r="G67" s="838"/>
      <c r="H67" s="839"/>
      <c r="I67" s="4"/>
      <c r="J67" s="4"/>
      <c r="K67" s="4"/>
      <c r="L67" s="4"/>
      <c r="M67" s="7"/>
      <c r="N67" s="900" t="s">
        <v>606</v>
      </c>
      <c r="O67" s="900"/>
      <c r="P67" s="900"/>
      <c r="Q67" s="901">
        <f>IF($S$49=0,"",'PART ADJ 2'!$C$9)</f>
        <v>1</v>
      </c>
      <c r="R67" s="901"/>
      <c r="S67" s="484">
        <f>IF($S$49=0,"",'PART ADJ 2'!$C$10)</f>
        <v>1</v>
      </c>
      <c r="T67" s="63"/>
    </row>
    <row r="68" spans="1:20" ht="16" thickBot="1" x14ac:dyDescent="0.25">
      <c r="A68" s="62"/>
      <c r="B68" s="872" t="s">
        <v>61</v>
      </c>
      <c r="C68" s="873"/>
      <c r="D68" s="874"/>
      <c r="E68" s="840"/>
      <c r="F68" s="841"/>
      <c r="G68" s="841"/>
      <c r="H68" s="842"/>
      <c r="I68" s="4"/>
      <c r="J68" s="4"/>
      <c r="K68" s="4"/>
      <c r="L68" s="4"/>
      <c r="M68" s="7"/>
      <c r="N68" s="884" t="s">
        <v>1823</v>
      </c>
      <c r="O68" s="884"/>
      <c r="P68" s="884"/>
      <c r="Q68" s="894">
        <f>IF($S$49=0,"",ROUND(Q66*Q67,2))</f>
        <v>1</v>
      </c>
      <c r="R68" s="894"/>
      <c r="S68" s="483">
        <f>IF($S$49=0,"",ROUND(S66*S67,2))</f>
        <v>1</v>
      </c>
      <c r="T68" s="63"/>
    </row>
    <row r="69" spans="1:20" x14ac:dyDescent="0.2">
      <c r="A69" s="62"/>
      <c r="B69" s="7"/>
      <c r="C69" s="7"/>
      <c r="D69" s="7"/>
      <c r="E69" s="7"/>
      <c r="F69" s="7"/>
      <c r="G69" s="7"/>
      <c r="H69" s="7"/>
      <c r="I69" s="7"/>
      <c r="J69" s="7"/>
      <c r="K69" s="7"/>
      <c r="L69" s="7"/>
      <c r="M69" s="7"/>
      <c r="N69" s="884" t="s">
        <v>610</v>
      </c>
      <c r="O69" s="884"/>
      <c r="P69" s="884"/>
      <c r="Q69" s="885">
        <f>IF(Q68="","",Q68-1)</f>
        <v>0</v>
      </c>
      <c r="R69" s="886"/>
      <c r="S69" s="485">
        <f>IF(S68="","",S68-1)</f>
        <v>0</v>
      </c>
      <c r="T69" s="63"/>
    </row>
    <row r="70" spans="1:20" ht="16" thickBot="1" x14ac:dyDescent="0.25">
      <c r="A70" s="486"/>
      <c r="B70" s="67"/>
      <c r="C70" s="67"/>
      <c r="D70" s="67"/>
      <c r="E70" s="67"/>
      <c r="F70" s="67"/>
      <c r="G70" s="67"/>
      <c r="H70" s="67"/>
      <c r="I70" s="67"/>
      <c r="J70" s="67"/>
      <c r="K70" s="67"/>
      <c r="L70" s="67"/>
      <c r="M70" s="68"/>
      <c r="N70" s="68"/>
      <c r="O70" s="68"/>
      <c r="P70" s="68"/>
      <c r="Q70" s="68"/>
      <c r="R70" s="68"/>
      <c r="S70" s="68"/>
      <c r="T70" s="69"/>
    </row>
    <row r="71" spans="1:20" ht="16" thickTop="1" x14ac:dyDescent="0.2"/>
  </sheetData>
  <mergeCells count="258">
    <mergeCell ref="J46:K46"/>
    <mergeCell ref="E47:F47"/>
    <mergeCell ref="G47:I47"/>
    <mergeCell ref="J47:K47"/>
    <mergeCell ref="E48:K48"/>
    <mergeCell ref="E41:H41"/>
    <mergeCell ref="E42:H42"/>
    <mergeCell ref="E43:H43"/>
    <mergeCell ref="E44:F44"/>
    <mergeCell ref="G44:I44"/>
    <mergeCell ref="J44:K44"/>
    <mergeCell ref="E45:F45"/>
    <mergeCell ref="G45:I45"/>
    <mergeCell ref="J45:K45"/>
    <mergeCell ref="I41:J41"/>
    <mergeCell ref="N69:P69"/>
    <mergeCell ref="Q64:R64"/>
    <mergeCell ref="Q69:R69"/>
    <mergeCell ref="N59:P59"/>
    <mergeCell ref="N60:S60"/>
    <mergeCell ref="N65:S65"/>
    <mergeCell ref="Q59:R59"/>
    <mergeCell ref="Q63:R63"/>
    <mergeCell ref="N66:P66"/>
    <mergeCell ref="Q66:R66"/>
    <mergeCell ref="N67:P67"/>
    <mergeCell ref="Q67:R67"/>
    <mergeCell ref="N68:P68"/>
    <mergeCell ref="Q68:R68"/>
    <mergeCell ref="N61:P61"/>
    <mergeCell ref="N62:P62"/>
    <mergeCell ref="N63:P63"/>
    <mergeCell ref="N64:P64"/>
    <mergeCell ref="Q61:R61"/>
    <mergeCell ref="Q62:R62"/>
    <mergeCell ref="N49:R49"/>
    <mergeCell ref="N50:R50"/>
    <mergeCell ref="N51:R51"/>
    <mergeCell ref="N52:R52"/>
    <mergeCell ref="N53:R53"/>
    <mergeCell ref="N54:R54"/>
    <mergeCell ref="N55:R55"/>
    <mergeCell ref="N56:R56"/>
    <mergeCell ref="N57:R57"/>
    <mergeCell ref="R12:S12"/>
    <mergeCell ref="E67:H67"/>
    <mergeCell ref="E68:H68"/>
    <mergeCell ref="B58:H58"/>
    <mergeCell ref="B57:L57"/>
    <mergeCell ref="N42:S46"/>
    <mergeCell ref="C51:E52"/>
    <mergeCell ref="C53:E53"/>
    <mergeCell ref="C54:E54"/>
    <mergeCell ref="C55:E55"/>
    <mergeCell ref="J53:L53"/>
    <mergeCell ref="J54:L54"/>
    <mergeCell ref="J51:L52"/>
    <mergeCell ref="E59:H59"/>
    <mergeCell ref="B50:L50"/>
    <mergeCell ref="B51:B52"/>
    <mergeCell ref="F51:G51"/>
    <mergeCell ref="B67:D67"/>
    <mergeCell ref="B68:D68"/>
    <mergeCell ref="H51:I52"/>
    <mergeCell ref="H53:I53"/>
    <mergeCell ref="H54:I54"/>
    <mergeCell ref="H55:I55"/>
    <mergeCell ref="N48:S48"/>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B15:C15"/>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C21:C22"/>
    <mergeCell ref="N21:N22"/>
    <mergeCell ref="O21:O22"/>
    <mergeCell ref="P21:P22"/>
    <mergeCell ref="Q21:Q22"/>
    <mergeCell ref="R21:R22"/>
    <mergeCell ref="S21:S22"/>
    <mergeCell ref="O19:O20"/>
    <mergeCell ref="P19:P20"/>
    <mergeCell ref="S19:S20"/>
    <mergeCell ref="N19:N20"/>
    <mergeCell ref="B25:B26"/>
    <mergeCell ref="D25:E26"/>
    <mergeCell ref="F25:F26"/>
    <mergeCell ref="G25:G26"/>
    <mergeCell ref="M25:M26"/>
    <mergeCell ref="B23:B24"/>
    <mergeCell ref="D23:E24"/>
    <mergeCell ref="F23:F24"/>
    <mergeCell ref="G23:G24"/>
    <mergeCell ref="M23:M24"/>
    <mergeCell ref="C23:C24"/>
    <mergeCell ref="C25:C26"/>
    <mergeCell ref="N25:N26"/>
    <mergeCell ref="O25:O26"/>
    <mergeCell ref="P25:P26"/>
    <mergeCell ref="Q25:Q26"/>
    <mergeCell ref="R25:R26"/>
    <mergeCell ref="S25:S26"/>
    <mergeCell ref="O23:O24"/>
    <mergeCell ref="P23:P24"/>
    <mergeCell ref="Q23:Q24"/>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O29:O30"/>
    <mergeCell ref="P29:P30"/>
    <mergeCell ref="Q29:Q30"/>
    <mergeCell ref="R29:R30"/>
    <mergeCell ref="S29:S30"/>
    <mergeCell ref="O27:O28"/>
    <mergeCell ref="P27:P28"/>
    <mergeCell ref="Q27:Q28"/>
    <mergeCell ref="S27:S28"/>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P33:P34"/>
    <mergeCell ref="Q33:Q34"/>
    <mergeCell ref="R33:R34"/>
    <mergeCell ref="S33:S34"/>
    <mergeCell ref="O31:O32"/>
    <mergeCell ref="P31:P32"/>
    <mergeCell ref="Q31:Q32"/>
    <mergeCell ref="S31:S32"/>
    <mergeCell ref="O35:O36"/>
    <mergeCell ref="P35:P36"/>
    <mergeCell ref="Q35:Q36"/>
    <mergeCell ref="R35:R36"/>
    <mergeCell ref="S35:S36"/>
    <mergeCell ref="B39:L39"/>
    <mergeCell ref="B35:B36"/>
    <mergeCell ref="D35:E36"/>
    <mergeCell ref="F35:F36"/>
    <mergeCell ref="G35:G36"/>
    <mergeCell ref="N35:N36"/>
    <mergeCell ref="C35:C36"/>
    <mergeCell ref="N39:S39"/>
    <mergeCell ref="M35:M36"/>
    <mergeCell ref="B9:D9"/>
    <mergeCell ref="E9:H9"/>
    <mergeCell ref="L9:M9"/>
    <mergeCell ref="F15:G15"/>
    <mergeCell ref="H15:M15"/>
    <mergeCell ref="B61:D61"/>
    <mergeCell ref="R31:R32"/>
    <mergeCell ref="R27:R28"/>
    <mergeCell ref="R23:R24"/>
    <mergeCell ref="R19:R20"/>
    <mergeCell ref="N15:S15"/>
    <mergeCell ref="D16:E16"/>
    <mergeCell ref="D21:E22"/>
    <mergeCell ref="F21:F22"/>
    <mergeCell ref="G21:G22"/>
    <mergeCell ref="M21:M22"/>
    <mergeCell ref="B19:B20"/>
    <mergeCell ref="D19:E20"/>
    <mergeCell ref="F19:F20"/>
    <mergeCell ref="G19:G20"/>
    <mergeCell ref="M19:M20"/>
    <mergeCell ref="C19:C20"/>
    <mergeCell ref="B41:D41"/>
    <mergeCell ref="N31:N32"/>
    <mergeCell ref="B42:D42"/>
    <mergeCell ref="I42:J42"/>
    <mergeCell ref="B45:D45"/>
    <mergeCell ref="B43:D43"/>
    <mergeCell ref="I43:J43"/>
    <mergeCell ref="B44:D44"/>
    <mergeCell ref="B40:D40"/>
    <mergeCell ref="B65:D65"/>
    <mergeCell ref="B66:D66"/>
    <mergeCell ref="B59:D59"/>
    <mergeCell ref="B60:D60"/>
    <mergeCell ref="E60:H60"/>
    <mergeCell ref="E61:H61"/>
    <mergeCell ref="E62:H62"/>
    <mergeCell ref="E63:H63"/>
    <mergeCell ref="E64:H64"/>
    <mergeCell ref="E65:H65"/>
    <mergeCell ref="E66:H66"/>
    <mergeCell ref="B63:D63"/>
    <mergeCell ref="B64:D64"/>
    <mergeCell ref="B62:D62"/>
    <mergeCell ref="E40:H40"/>
    <mergeCell ref="E46:F46"/>
    <mergeCell ref="G46:I46"/>
  </mergeCells>
  <conditionalFormatting sqref="P9">
    <cfRule type="cellIs" dxfId="2" priority="3" operator="equal">
      <formula>"""Yes-See Section 8"""</formula>
    </cfRule>
  </conditionalFormatting>
  <conditionalFormatting sqref="N11:O11">
    <cfRule type="containsText" dxfId="1" priority="2" operator="containsText" text="Yes-See Section 8">
      <formula>NOT(ISERROR(SEARCH("Yes-See Section 8",N11)))</formula>
    </cfRule>
  </conditionalFormatting>
  <conditionalFormatting sqref="L17:L36">
    <cfRule type="expression" dxfId="0" priority="1">
      <formula>$L$16="N/A"</formula>
    </cfRule>
  </conditionalFormatting>
  <dataValidations count="14">
    <dataValidation type="list" allowBlank="1" showInputMessage="1" showErrorMessage="1" sqref="C54">
      <formula1>"N/A,Blue View Vision"</formula1>
    </dataValidation>
    <dataValidation type="list" allowBlank="1" showInputMessage="1" showErrorMessage="1" sqref="C53">
      <formula1>"N/A,Complete,Dental Prime,Dental Net, DHMO &amp; DPPO"</formula1>
    </dataValidation>
    <dataValidation type="list" allowBlank="1" showInputMessage="1" showErrorMessage="1" sqref="C55 J11">
      <formula1>"Yes,No"</formula1>
    </dataValidation>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6:H66">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"1,2,3,4,5,6,7,8,9,10"</formula1>
    </dataValidation>
    <dataValidation type="list" allowBlank="1" showInputMessage="1" showErrorMessage="1" sqref="E42:H42">
      <formula1>"Select One,,2,3,4"</formula1>
    </dataValidation>
    <dataValidation type="list" allowBlank="1" showInputMessage="1" showErrorMessage="1" sqref="E43:H43">
      <formula1>"Select One,Alongside Kaiser,Alongside SIMNSA,Alongside Kaiser/SIMNSA,Total Takeover,Alongside and Total Takeover"</formula1>
    </dataValidation>
    <dataValidation type="list" allowBlank="1" showInputMessage="1" showErrorMessage="1" sqref="C17:C36">
      <formula1>"HMO,PPO,CDHP"</formula1>
    </dataValidation>
    <dataValidation type="list" allowBlank="1" showInputMessage="1" showErrorMessage="1" sqref="J53:L54">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692</v>
      </c>
      <c r="B1" s="187" t="s">
        <v>693</v>
      </c>
      <c r="C1" s="187" t="s">
        <v>694</v>
      </c>
      <c r="D1" s="188" t="s">
        <v>695</v>
      </c>
      <c r="E1" s="189" t="s">
        <v>696</v>
      </c>
    </row>
    <row r="2" spans="1:7" x14ac:dyDescent="0.15">
      <c r="A2" s="191">
        <v>111</v>
      </c>
      <c r="B2" s="192" t="s">
        <v>697</v>
      </c>
      <c r="C2" s="192" t="s">
        <v>698</v>
      </c>
      <c r="D2" s="193">
        <v>1.1000000000000001</v>
      </c>
      <c r="E2" s="194" t="str">
        <f t="shared" ref="E2:E65" si="0">IF(D2=0.95,"level I",IF(D2=1,"level II",IF(D2=1.05,"level III",IF(D2=1.1,"level IV",IF(D2=1.15,"level V",IF(D2=1.2,"level VI",IF(D2=0.9,"level 0","level VII")))))))</f>
        <v>level IV</v>
      </c>
      <c r="G2" s="190" t="s">
        <v>699</v>
      </c>
    </row>
    <row r="3" spans="1:7" x14ac:dyDescent="0.15">
      <c r="A3" s="194">
        <v>112</v>
      </c>
      <c r="B3" s="195" t="s">
        <v>697</v>
      </c>
      <c r="C3" s="195" t="s">
        <v>700</v>
      </c>
      <c r="D3" s="196">
        <v>1.1000000000000001</v>
      </c>
      <c r="E3" s="194" t="str">
        <f t="shared" si="0"/>
        <v>level IV</v>
      </c>
      <c r="G3" s="190" t="s">
        <v>701</v>
      </c>
    </row>
    <row r="4" spans="1:7" x14ac:dyDescent="0.15">
      <c r="A4" s="194">
        <v>115</v>
      </c>
      <c r="B4" s="195" t="s">
        <v>697</v>
      </c>
      <c r="C4" s="195" t="s">
        <v>702</v>
      </c>
      <c r="D4" s="196">
        <v>1.1000000000000001</v>
      </c>
      <c r="E4" s="194" t="str">
        <f t="shared" si="0"/>
        <v>level IV</v>
      </c>
      <c r="G4" s="190" t="s">
        <v>703</v>
      </c>
    </row>
    <row r="5" spans="1:7" x14ac:dyDescent="0.15">
      <c r="A5" s="194">
        <v>116</v>
      </c>
      <c r="B5" s="195" t="s">
        <v>697</v>
      </c>
      <c r="C5" s="195" t="s">
        <v>704</v>
      </c>
      <c r="D5" s="196">
        <v>1.1000000000000001</v>
      </c>
      <c r="E5" s="194" t="str">
        <f t="shared" si="0"/>
        <v>level IV</v>
      </c>
      <c r="G5" s="190" t="s">
        <v>705</v>
      </c>
    </row>
    <row r="6" spans="1:7" x14ac:dyDescent="0.15">
      <c r="A6" s="194">
        <v>119</v>
      </c>
      <c r="B6" s="195" t="s">
        <v>697</v>
      </c>
      <c r="C6" s="195" t="s">
        <v>706</v>
      </c>
      <c r="D6" s="196">
        <v>1.1000000000000001</v>
      </c>
      <c r="E6" s="194" t="str">
        <f t="shared" si="0"/>
        <v>level IV</v>
      </c>
      <c r="G6" s="190" t="s">
        <v>707</v>
      </c>
    </row>
    <row r="7" spans="1:7" x14ac:dyDescent="0.15">
      <c r="A7" s="194">
        <v>131</v>
      </c>
      <c r="B7" s="195" t="s">
        <v>697</v>
      </c>
      <c r="C7" s="195" t="s">
        <v>708</v>
      </c>
      <c r="D7" s="196">
        <v>1.1000000000000001</v>
      </c>
      <c r="E7" s="194" t="str">
        <f t="shared" si="0"/>
        <v>level IV</v>
      </c>
      <c r="G7" s="190" t="s">
        <v>709</v>
      </c>
    </row>
    <row r="8" spans="1:7" x14ac:dyDescent="0.15">
      <c r="A8" s="194">
        <v>132</v>
      </c>
      <c r="B8" s="195" t="s">
        <v>697</v>
      </c>
      <c r="C8" s="195" t="s">
        <v>710</v>
      </c>
      <c r="D8" s="196">
        <v>1.1000000000000001</v>
      </c>
      <c r="E8" s="194" t="str">
        <f t="shared" si="0"/>
        <v>level IV</v>
      </c>
      <c r="G8" s="190" t="s">
        <v>711</v>
      </c>
    </row>
    <row r="9" spans="1:7" x14ac:dyDescent="0.15">
      <c r="A9" s="194">
        <v>133</v>
      </c>
      <c r="B9" s="195" t="s">
        <v>697</v>
      </c>
      <c r="C9" s="195" t="s">
        <v>712</v>
      </c>
      <c r="D9" s="196">
        <v>1.1000000000000001</v>
      </c>
      <c r="E9" s="194" t="str">
        <f t="shared" si="0"/>
        <v>level IV</v>
      </c>
      <c r="G9" s="190" t="s">
        <v>713</v>
      </c>
    </row>
    <row r="10" spans="1:7" x14ac:dyDescent="0.15">
      <c r="A10" s="194">
        <v>134</v>
      </c>
      <c r="B10" s="195" t="s">
        <v>697</v>
      </c>
      <c r="C10" s="195" t="s">
        <v>714</v>
      </c>
      <c r="D10" s="196">
        <v>1.1000000000000001</v>
      </c>
      <c r="E10" s="194" t="str">
        <f t="shared" si="0"/>
        <v>level IV</v>
      </c>
    </row>
    <row r="11" spans="1:7" x14ac:dyDescent="0.15">
      <c r="A11" s="194">
        <v>139</v>
      </c>
      <c r="B11" s="195" t="s">
        <v>697</v>
      </c>
      <c r="C11" s="195" t="s">
        <v>715</v>
      </c>
      <c r="D11" s="196">
        <v>1.1000000000000001</v>
      </c>
      <c r="E11" s="194" t="str">
        <f t="shared" si="0"/>
        <v>level IV</v>
      </c>
    </row>
    <row r="12" spans="1:7" x14ac:dyDescent="0.15">
      <c r="A12" s="194">
        <v>161</v>
      </c>
      <c r="B12" s="195" t="s">
        <v>697</v>
      </c>
      <c r="C12" s="195" t="s">
        <v>716</v>
      </c>
      <c r="D12" s="196">
        <v>1.1000000000000001</v>
      </c>
      <c r="E12" s="194" t="str">
        <f t="shared" si="0"/>
        <v>level IV</v>
      </c>
    </row>
    <row r="13" spans="1:7" x14ac:dyDescent="0.15">
      <c r="A13" s="194">
        <v>171</v>
      </c>
      <c r="B13" s="195" t="s">
        <v>697</v>
      </c>
      <c r="C13" s="195" t="s">
        <v>717</v>
      </c>
      <c r="D13" s="196">
        <v>1.1000000000000001</v>
      </c>
      <c r="E13" s="194" t="str">
        <f t="shared" si="0"/>
        <v>level IV</v>
      </c>
    </row>
    <row r="14" spans="1:7" x14ac:dyDescent="0.15">
      <c r="A14" s="194">
        <v>172</v>
      </c>
      <c r="B14" s="195" t="s">
        <v>697</v>
      </c>
      <c r="C14" s="195" t="s">
        <v>718</v>
      </c>
      <c r="D14" s="196">
        <v>1.1000000000000001</v>
      </c>
      <c r="E14" s="194" t="str">
        <f t="shared" si="0"/>
        <v>level IV</v>
      </c>
    </row>
    <row r="15" spans="1:7" x14ac:dyDescent="0.15">
      <c r="A15" s="194">
        <v>173</v>
      </c>
      <c r="B15" s="195" t="s">
        <v>697</v>
      </c>
      <c r="C15" s="195" t="s">
        <v>719</v>
      </c>
      <c r="D15" s="196">
        <v>1.1000000000000001</v>
      </c>
      <c r="E15" s="194" t="str">
        <f t="shared" si="0"/>
        <v>level IV</v>
      </c>
    </row>
    <row r="16" spans="1:7" x14ac:dyDescent="0.15">
      <c r="A16" s="194">
        <v>174</v>
      </c>
      <c r="B16" s="195" t="s">
        <v>697</v>
      </c>
      <c r="C16" s="195" t="s">
        <v>720</v>
      </c>
      <c r="D16" s="196">
        <v>1.1000000000000001</v>
      </c>
      <c r="E16" s="194" t="str">
        <f t="shared" si="0"/>
        <v>level IV</v>
      </c>
    </row>
    <row r="17" spans="1:5" x14ac:dyDescent="0.15">
      <c r="A17" s="194">
        <v>175</v>
      </c>
      <c r="B17" s="195" t="s">
        <v>697</v>
      </c>
      <c r="C17" s="195" t="s">
        <v>721</v>
      </c>
      <c r="D17" s="196">
        <v>1.1000000000000001</v>
      </c>
      <c r="E17" s="194" t="str">
        <f t="shared" si="0"/>
        <v>level IV</v>
      </c>
    </row>
    <row r="18" spans="1:5" x14ac:dyDescent="0.15">
      <c r="A18" s="194">
        <v>179</v>
      </c>
      <c r="B18" s="195" t="s">
        <v>697</v>
      </c>
      <c r="C18" s="195" t="s">
        <v>722</v>
      </c>
      <c r="D18" s="196">
        <v>1.1000000000000001</v>
      </c>
      <c r="E18" s="194" t="str">
        <f t="shared" si="0"/>
        <v>level IV</v>
      </c>
    </row>
    <row r="19" spans="1:5" x14ac:dyDescent="0.15">
      <c r="A19" s="194">
        <v>181</v>
      </c>
      <c r="B19" s="195" t="s">
        <v>697</v>
      </c>
      <c r="C19" s="195" t="s">
        <v>723</v>
      </c>
      <c r="D19" s="196">
        <v>1.1000000000000001</v>
      </c>
      <c r="E19" s="194" t="str">
        <f t="shared" si="0"/>
        <v>level IV</v>
      </c>
    </row>
    <row r="20" spans="1:5" x14ac:dyDescent="0.15">
      <c r="A20" s="194">
        <v>182</v>
      </c>
      <c r="B20" s="195" t="s">
        <v>697</v>
      </c>
      <c r="C20" s="195" t="s">
        <v>724</v>
      </c>
      <c r="D20" s="196">
        <v>1.1000000000000001</v>
      </c>
      <c r="E20" s="194" t="str">
        <f t="shared" si="0"/>
        <v>level IV</v>
      </c>
    </row>
    <row r="21" spans="1:5" x14ac:dyDescent="0.15">
      <c r="A21" s="194">
        <v>191</v>
      </c>
      <c r="B21" s="195" t="s">
        <v>697</v>
      </c>
      <c r="C21" s="195" t="s">
        <v>725</v>
      </c>
      <c r="D21" s="196">
        <v>1.1000000000000001</v>
      </c>
      <c r="E21" s="194" t="str">
        <f t="shared" si="0"/>
        <v>level IV</v>
      </c>
    </row>
    <row r="22" spans="1:5" x14ac:dyDescent="0.15">
      <c r="A22" s="194">
        <v>211</v>
      </c>
      <c r="B22" s="195" t="s">
        <v>697</v>
      </c>
      <c r="C22" s="195" t="s">
        <v>726</v>
      </c>
      <c r="D22" s="196">
        <v>1.05</v>
      </c>
      <c r="E22" s="194" t="str">
        <f t="shared" si="0"/>
        <v>level III</v>
      </c>
    </row>
    <row r="23" spans="1:5" x14ac:dyDescent="0.15">
      <c r="A23" s="194">
        <v>212</v>
      </c>
      <c r="B23" s="195" t="s">
        <v>697</v>
      </c>
      <c r="C23" s="195" t="s">
        <v>727</v>
      </c>
      <c r="D23" s="196">
        <v>1.05</v>
      </c>
      <c r="E23" s="194" t="str">
        <f t="shared" si="0"/>
        <v>level III</v>
      </c>
    </row>
    <row r="24" spans="1:5" x14ac:dyDescent="0.15">
      <c r="A24" s="194">
        <v>213</v>
      </c>
      <c r="B24" s="195" t="s">
        <v>697</v>
      </c>
      <c r="C24" s="195" t="s">
        <v>728</v>
      </c>
      <c r="D24" s="196">
        <v>1.05</v>
      </c>
      <c r="E24" s="194" t="str">
        <f t="shared" si="0"/>
        <v>level III</v>
      </c>
    </row>
    <row r="25" spans="1:5" x14ac:dyDescent="0.15">
      <c r="A25" s="194">
        <v>214</v>
      </c>
      <c r="B25" s="195" t="s">
        <v>697</v>
      </c>
      <c r="C25" s="195" t="s">
        <v>729</v>
      </c>
      <c r="D25" s="196">
        <v>1.05</v>
      </c>
      <c r="E25" s="194" t="str">
        <f t="shared" si="0"/>
        <v>level III</v>
      </c>
    </row>
    <row r="26" spans="1:5" x14ac:dyDescent="0.15">
      <c r="A26" s="194">
        <v>219</v>
      </c>
      <c r="B26" s="195" t="s">
        <v>697</v>
      </c>
      <c r="C26" s="195" t="s">
        <v>730</v>
      </c>
      <c r="D26" s="196">
        <v>1.05</v>
      </c>
      <c r="E26" s="194" t="str">
        <f t="shared" si="0"/>
        <v>level III</v>
      </c>
    </row>
    <row r="27" spans="1:5" x14ac:dyDescent="0.15">
      <c r="A27" s="194">
        <v>241</v>
      </c>
      <c r="B27" s="195" t="s">
        <v>697</v>
      </c>
      <c r="C27" s="195" t="s">
        <v>731</v>
      </c>
      <c r="D27" s="196">
        <v>1.05</v>
      </c>
      <c r="E27" s="194" t="str">
        <f t="shared" si="0"/>
        <v>level III</v>
      </c>
    </row>
    <row r="28" spans="1:5" x14ac:dyDescent="0.15">
      <c r="A28" s="194">
        <v>251</v>
      </c>
      <c r="B28" s="195" t="s">
        <v>697</v>
      </c>
      <c r="C28" s="195" t="s">
        <v>732</v>
      </c>
      <c r="D28" s="196">
        <v>1.05</v>
      </c>
      <c r="E28" s="194" t="str">
        <f t="shared" si="0"/>
        <v>level III</v>
      </c>
    </row>
    <row r="29" spans="1:5" x14ac:dyDescent="0.15">
      <c r="A29" s="194">
        <v>252</v>
      </c>
      <c r="B29" s="195" t="s">
        <v>697</v>
      </c>
      <c r="C29" s="195" t="s">
        <v>733</v>
      </c>
      <c r="D29" s="196">
        <v>1.05</v>
      </c>
      <c r="E29" s="194" t="str">
        <f t="shared" si="0"/>
        <v>level III</v>
      </c>
    </row>
    <row r="30" spans="1:5" x14ac:dyDescent="0.15">
      <c r="A30" s="194">
        <v>253</v>
      </c>
      <c r="B30" s="195" t="s">
        <v>697</v>
      </c>
      <c r="C30" s="195" t="s">
        <v>734</v>
      </c>
      <c r="D30" s="196">
        <v>1.05</v>
      </c>
      <c r="E30" s="194" t="str">
        <f t="shared" si="0"/>
        <v>level III</v>
      </c>
    </row>
    <row r="31" spans="1:5" x14ac:dyDescent="0.15">
      <c r="A31" s="194">
        <v>254</v>
      </c>
      <c r="B31" s="195" t="s">
        <v>697</v>
      </c>
      <c r="C31" s="195" t="s">
        <v>735</v>
      </c>
      <c r="D31" s="196">
        <v>1.05</v>
      </c>
      <c r="E31" s="194" t="str">
        <f t="shared" si="0"/>
        <v>level III</v>
      </c>
    </row>
    <row r="32" spans="1:5" x14ac:dyDescent="0.15">
      <c r="A32" s="194">
        <v>259</v>
      </c>
      <c r="B32" s="195" t="s">
        <v>697</v>
      </c>
      <c r="C32" s="195" t="s">
        <v>736</v>
      </c>
      <c r="D32" s="196">
        <v>1.05</v>
      </c>
      <c r="E32" s="194" t="str">
        <f t="shared" si="0"/>
        <v>level III</v>
      </c>
    </row>
    <row r="33" spans="1:5" x14ac:dyDescent="0.15">
      <c r="A33" s="194">
        <v>271</v>
      </c>
      <c r="B33" s="195" t="s">
        <v>697</v>
      </c>
      <c r="C33" s="195" t="s">
        <v>737</v>
      </c>
      <c r="D33" s="196">
        <v>1.05</v>
      </c>
      <c r="E33" s="194" t="str">
        <f t="shared" si="0"/>
        <v>level III</v>
      </c>
    </row>
    <row r="34" spans="1:5" x14ac:dyDescent="0.15">
      <c r="A34" s="194">
        <v>272</v>
      </c>
      <c r="B34" s="195" t="s">
        <v>697</v>
      </c>
      <c r="C34" s="195" t="s">
        <v>738</v>
      </c>
      <c r="D34" s="196">
        <v>1.05</v>
      </c>
      <c r="E34" s="194" t="str">
        <f t="shared" si="0"/>
        <v>level III</v>
      </c>
    </row>
    <row r="35" spans="1:5" x14ac:dyDescent="0.15">
      <c r="A35" s="194">
        <v>273</v>
      </c>
      <c r="B35" s="195" t="s">
        <v>697</v>
      </c>
      <c r="C35" s="195" t="s">
        <v>739</v>
      </c>
      <c r="D35" s="196">
        <v>1.05</v>
      </c>
      <c r="E35" s="194" t="str">
        <f t="shared" si="0"/>
        <v>level III</v>
      </c>
    </row>
    <row r="36" spans="1:5" x14ac:dyDescent="0.15">
      <c r="A36" s="194">
        <v>279</v>
      </c>
      <c r="B36" s="195" t="s">
        <v>697</v>
      </c>
      <c r="C36" s="195" t="s">
        <v>740</v>
      </c>
      <c r="D36" s="196">
        <v>1.05</v>
      </c>
      <c r="E36" s="194" t="str">
        <f t="shared" si="0"/>
        <v>level III</v>
      </c>
    </row>
    <row r="37" spans="1:5" x14ac:dyDescent="0.15">
      <c r="A37" s="194">
        <v>291</v>
      </c>
      <c r="B37" s="195" t="s">
        <v>697</v>
      </c>
      <c r="C37" s="195" t="s">
        <v>741</v>
      </c>
      <c r="D37" s="196">
        <v>1.05</v>
      </c>
      <c r="E37" s="194" t="str">
        <f t="shared" si="0"/>
        <v>level III</v>
      </c>
    </row>
    <row r="38" spans="1:5" x14ac:dyDescent="0.15">
      <c r="A38" s="194">
        <v>711</v>
      </c>
      <c r="B38" s="195" t="s">
        <v>697</v>
      </c>
      <c r="C38" s="195" t="s">
        <v>742</v>
      </c>
      <c r="D38" s="196">
        <v>0.95</v>
      </c>
      <c r="E38" s="194" t="str">
        <f t="shared" si="0"/>
        <v>level I</v>
      </c>
    </row>
    <row r="39" spans="1:5" x14ac:dyDescent="0.15">
      <c r="A39" s="194">
        <v>721</v>
      </c>
      <c r="B39" s="195" t="s">
        <v>697</v>
      </c>
      <c r="C39" s="195" t="s">
        <v>743</v>
      </c>
      <c r="D39" s="196">
        <v>0.95</v>
      </c>
      <c r="E39" s="194" t="str">
        <f t="shared" si="0"/>
        <v>level I</v>
      </c>
    </row>
    <row r="40" spans="1:5" x14ac:dyDescent="0.15">
      <c r="A40" s="194">
        <v>722</v>
      </c>
      <c r="B40" s="195" t="s">
        <v>697</v>
      </c>
      <c r="C40" s="195" t="s">
        <v>744</v>
      </c>
      <c r="D40" s="196">
        <v>0.95</v>
      </c>
      <c r="E40" s="194" t="str">
        <f t="shared" si="0"/>
        <v>level I</v>
      </c>
    </row>
    <row r="41" spans="1:5" x14ac:dyDescent="0.15">
      <c r="A41" s="194">
        <v>723</v>
      </c>
      <c r="B41" s="195" t="s">
        <v>697</v>
      </c>
      <c r="C41" s="195" t="s">
        <v>745</v>
      </c>
      <c r="D41" s="196">
        <v>0.95</v>
      </c>
      <c r="E41" s="194" t="str">
        <f t="shared" si="0"/>
        <v>level I</v>
      </c>
    </row>
    <row r="42" spans="1:5" x14ac:dyDescent="0.15">
      <c r="A42" s="194">
        <v>724</v>
      </c>
      <c r="B42" s="195" t="s">
        <v>697</v>
      </c>
      <c r="C42" s="195" t="s">
        <v>746</v>
      </c>
      <c r="D42" s="196">
        <v>0.95</v>
      </c>
      <c r="E42" s="194" t="str">
        <f t="shared" si="0"/>
        <v>level I</v>
      </c>
    </row>
    <row r="43" spans="1:5" x14ac:dyDescent="0.15">
      <c r="A43" s="194">
        <v>741</v>
      </c>
      <c r="B43" s="195" t="s">
        <v>697</v>
      </c>
      <c r="C43" s="195" t="s">
        <v>747</v>
      </c>
      <c r="D43" s="196">
        <v>0.95</v>
      </c>
      <c r="E43" s="194" t="str">
        <f t="shared" si="0"/>
        <v>level I</v>
      </c>
    </row>
    <row r="44" spans="1:5" x14ac:dyDescent="0.15">
      <c r="A44" s="194">
        <v>742</v>
      </c>
      <c r="B44" s="195" t="s">
        <v>697</v>
      </c>
      <c r="C44" s="195" t="s">
        <v>748</v>
      </c>
      <c r="D44" s="196">
        <v>0.95</v>
      </c>
      <c r="E44" s="194" t="str">
        <f t="shared" si="0"/>
        <v>level I</v>
      </c>
    </row>
    <row r="45" spans="1:5" x14ac:dyDescent="0.15">
      <c r="A45" s="194">
        <v>751</v>
      </c>
      <c r="B45" s="195" t="s">
        <v>697</v>
      </c>
      <c r="C45" s="195" t="s">
        <v>749</v>
      </c>
      <c r="D45" s="196">
        <v>0.95</v>
      </c>
      <c r="E45" s="194" t="str">
        <f t="shared" si="0"/>
        <v>level I</v>
      </c>
    </row>
    <row r="46" spans="1:5" x14ac:dyDescent="0.15">
      <c r="A46" s="194">
        <v>752</v>
      </c>
      <c r="B46" s="195" t="s">
        <v>697</v>
      </c>
      <c r="C46" s="195" t="s">
        <v>750</v>
      </c>
      <c r="D46" s="196">
        <v>0.95</v>
      </c>
      <c r="E46" s="194" t="str">
        <f t="shared" si="0"/>
        <v>level I</v>
      </c>
    </row>
    <row r="47" spans="1:5" x14ac:dyDescent="0.15">
      <c r="A47" s="194">
        <v>761</v>
      </c>
      <c r="B47" s="195" t="s">
        <v>697</v>
      </c>
      <c r="C47" s="195" t="s">
        <v>751</v>
      </c>
      <c r="D47" s="196">
        <v>0.95</v>
      </c>
      <c r="E47" s="194" t="str">
        <f t="shared" si="0"/>
        <v>level I</v>
      </c>
    </row>
    <row r="48" spans="1:5" x14ac:dyDescent="0.15">
      <c r="A48" s="194">
        <v>762</v>
      </c>
      <c r="B48" s="195" t="s">
        <v>697</v>
      </c>
      <c r="C48" s="195" t="s">
        <v>752</v>
      </c>
      <c r="D48" s="196">
        <v>0.95</v>
      </c>
      <c r="E48" s="194" t="str">
        <f t="shared" si="0"/>
        <v>level I</v>
      </c>
    </row>
    <row r="49" spans="1:5" x14ac:dyDescent="0.15">
      <c r="A49" s="194">
        <v>781</v>
      </c>
      <c r="B49" s="195" t="s">
        <v>697</v>
      </c>
      <c r="C49" s="195" t="s">
        <v>753</v>
      </c>
      <c r="D49" s="196">
        <v>0.95</v>
      </c>
      <c r="E49" s="194" t="str">
        <f t="shared" si="0"/>
        <v>level I</v>
      </c>
    </row>
    <row r="50" spans="1:5" x14ac:dyDescent="0.15">
      <c r="A50" s="194">
        <v>782</v>
      </c>
      <c r="B50" s="195" t="s">
        <v>697</v>
      </c>
      <c r="C50" s="195" t="s">
        <v>754</v>
      </c>
      <c r="D50" s="196">
        <v>0.95</v>
      </c>
      <c r="E50" s="194" t="str">
        <f t="shared" si="0"/>
        <v>level I</v>
      </c>
    </row>
    <row r="51" spans="1:5" x14ac:dyDescent="0.15">
      <c r="A51" s="194">
        <v>783</v>
      </c>
      <c r="B51" s="195" t="s">
        <v>697</v>
      </c>
      <c r="C51" s="195" t="s">
        <v>755</v>
      </c>
      <c r="D51" s="196">
        <v>0.95</v>
      </c>
      <c r="E51" s="194" t="str">
        <f t="shared" si="0"/>
        <v>level I</v>
      </c>
    </row>
    <row r="52" spans="1:5" x14ac:dyDescent="0.15">
      <c r="A52" s="194">
        <v>811</v>
      </c>
      <c r="B52" s="195" t="s">
        <v>697</v>
      </c>
      <c r="C52" s="195" t="s">
        <v>756</v>
      </c>
      <c r="D52" s="196">
        <v>1.05</v>
      </c>
      <c r="E52" s="194" t="str">
        <f t="shared" si="0"/>
        <v>level III</v>
      </c>
    </row>
    <row r="53" spans="1:5" x14ac:dyDescent="0.15">
      <c r="A53" s="194">
        <v>831</v>
      </c>
      <c r="B53" s="195" t="s">
        <v>697</v>
      </c>
      <c r="C53" s="195" t="s">
        <v>757</v>
      </c>
      <c r="D53" s="196">
        <v>1.05</v>
      </c>
      <c r="E53" s="194" t="str">
        <f t="shared" si="0"/>
        <v>level III</v>
      </c>
    </row>
    <row r="54" spans="1:5" x14ac:dyDescent="0.15">
      <c r="A54" s="194">
        <v>851</v>
      </c>
      <c r="B54" s="195" t="s">
        <v>697</v>
      </c>
      <c r="C54" s="195" t="s">
        <v>758</v>
      </c>
      <c r="D54" s="196">
        <v>1.05</v>
      </c>
      <c r="E54" s="194" t="str">
        <f t="shared" si="0"/>
        <v>level III</v>
      </c>
    </row>
    <row r="55" spans="1:5" x14ac:dyDescent="0.15">
      <c r="A55" s="194">
        <v>912</v>
      </c>
      <c r="B55" s="195" t="s">
        <v>697</v>
      </c>
      <c r="C55" s="195" t="s">
        <v>759</v>
      </c>
      <c r="D55" s="196">
        <v>1.05</v>
      </c>
      <c r="E55" s="194" t="str">
        <f t="shared" si="0"/>
        <v>level III</v>
      </c>
    </row>
    <row r="56" spans="1:5" x14ac:dyDescent="0.15">
      <c r="A56" s="194">
        <v>913</v>
      </c>
      <c r="B56" s="195" t="s">
        <v>697</v>
      </c>
      <c r="C56" s="195" t="s">
        <v>760</v>
      </c>
      <c r="D56" s="196">
        <v>1.05</v>
      </c>
      <c r="E56" s="194" t="str">
        <f t="shared" si="0"/>
        <v>level III</v>
      </c>
    </row>
    <row r="57" spans="1:5" x14ac:dyDescent="0.15">
      <c r="A57" s="194">
        <v>919</v>
      </c>
      <c r="B57" s="195" t="s">
        <v>697</v>
      </c>
      <c r="C57" s="195" t="s">
        <v>761</v>
      </c>
      <c r="D57" s="196">
        <v>1.05</v>
      </c>
      <c r="E57" s="194" t="str">
        <f t="shared" si="0"/>
        <v>level III</v>
      </c>
    </row>
    <row r="58" spans="1:5" x14ac:dyDescent="0.15">
      <c r="A58" s="194">
        <v>921</v>
      </c>
      <c r="B58" s="195" t="s">
        <v>697</v>
      </c>
      <c r="C58" s="195" t="s">
        <v>762</v>
      </c>
      <c r="D58" s="196">
        <v>1.05</v>
      </c>
      <c r="E58" s="194" t="str">
        <f t="shared" si="0"/>
        <v>level III</v>
      </c>
    </row>
    <row r="59" spans="1:5" x14ac:dyDescent="0.15">
      <c r="A59" s="194">
        <v>971</v>
      </c>
      <c r="B59" s="195" t="s">
        <v>697</v>
      </c>
      <c r="C59" s="195" t="s">
        <v>763</v>
      </c>
      <c r="D59" s="196">
        <v>1.05</v>
      </c>
      <c r="E59" s="194" t="str">
        <f t="shared" si="0"/>
        <v>level III</v>
      </c>
    </row>
    <row r="60" spans="1:5" x14ac:dyDescent="0.15">
      <c r="A60" s="194">
        <v>1011</v>
      </c>
      <c r="B60" s="195" t="s">
        <v>764</v>
      </c>
      <c r="C60" s="195" t="s">
        <v>765</v>
      </c>
      <c r="D60" s="196">
        <v>1.2</v>
      </c>
      <c r="E60" s="194" t="str">
        <f t="shared" si="0"/>
        <v>level VI</v>
      </c>
    </row>
    <row r="61" spans="1:5" x14ac:dyDescent="0.15">
      <c r="A61" s="194">
        <v>1021</v>
      </c>
      <c r="B61" s="195" t="s">
        <v>764</v>
      </c>
      <c r="C61" s="195" t="s">
        <v>766</v>
      </c>
      <c r="D61" s="196">
        <v>1.2</v>
      </c>
      <c r="E61" s="194" t="str">
        <f t="shared" si="0"/>
        <v>level VI</v>
      </c>
    </row>
    <row r="62" spans="1:5" x14ac:dyDescent="0.15">
      <c r="A62" s="194">
        <v>1031</v>
      </c>
      <c r="B62" s="195" t="s">
        <v>764</v>
      </c>
      <c r="C62" s="195" t="s">
        <v>767</v>
      </c>
      <c r="D62" s="196">
        <v>1.2</v>
      </c>
      <c r="E62" s="194" t="str">
        <f t="shared" si="0"/>
        <v>level VI</v>
      </c>
    </row>
    <row r="63" spans="1:5" x14ac:dyDescent="0.15">
      <c r="A63" s="194">
        <v>1041</v>
      </c>
      <c r="B63" s="195" t="s">
        <v>764</v>
      </c>
      <c r="C63" s="195" t="s">
        <v>768</v>
      </c>
      <c r="D63" s="196">
        <v>1.2</v>
      </c>
      <c r="E63" s="194" t="str">
        <f t="shared" si="0"/>
        <v>level VI</v>
      </c>
    </row>
    <row r="64" spans="1:5" x14ac:dyDescent="0.15">
      <c r="A64" s="194">
        <v>1044</v>
      </c>
      <c r="B64" s="195" t="s">
        <v>764</v>
      </c>
      <c r="C64" s="195" t="s">
        <v>769</v>
      </c>
      <c r="D64" s="196">
        <v>1.2</v>
      </c>
      <c r="E64" s="194" t="str">
        <f t="shared" si="0"/>
        <v>level VI</v>
      </c>
    </row>
    <row r="65" spans="1:5" x14ac:dyDescent="0.15">
      <c r="A65" s="194">
        <v>1061</v>
      </c>
      <c r="B65" s="195" t="s">
        <v>764</v>
      </c>
      <c r="C65" s="195" t="s">
        <v>770</v>
      </c>
      <c r="D65" s="196">
        <v>1.2</v>
      </c>
      <c r="E65" s="194" t="str">
        <f t="shared" si="0"/>
        <v>level VI</v>
      </c>
    </row>
    <row r="66" spans="1:5" x14ac:dyDescent="0.15">
      <c r="A66" s="194">
        <v>1081</v>
      </c>
      <c r="B66" s="195" t="s">
        <v>764</v>
      </c>
      <c r="C66" s="195" t="s">
        <v>771</v>
      </c>
      <c r="D66" s="196">
        <v>1.2</v>
      </c>
      <c r="E66" s="194" t="str">
        <f t="shared" ref="E66:E129" si="1">IF(D66=0.95,"level I",IF(D66=1,"level II",IF(D66=1.05,"level III",IF(D66=1.1,"level IV",IF(D66=1.15,"level V",IF(D66=1.2,"level VI",IF(D66=0.9,"level 0","level VII")))))))</f>
        <v>level VI</v>
      </c>
    </row>
    <row r="67" spans="1:5" x14ac:dyDescent="0.15">
      <c r="A67" s="194">
        <v>1094</v>
      </c>
      <c r="B67" s="195" t="s">
        <v>764</v>
      </c>
      <c r="C67" s="195" t="s">
        <v>772</v>
      </c>
      <c r="D67" s="196">
        <v>1.2</v>
      </c>
      <c r="E67" s="194" t="str">
        <f t="shared" si="1"/>
        <v>level VI</v>
      </c>
    </row>
    <row r="68" spans="1:5" x14ac:dyDescent="0.15">
      <c r="A68" s="194">
        <v>1099</v>
      </c>
      <c r="B68" s="195" t="s">
        <v>764</v>
      </c>
      <c r="C68" s="195" t="s">
        <v>773</v>
      </c>
      <c r="D68" s="196">
        <v>1.2</v>
      </c>
      <c r="E68" s="194" t="str">
        <f t="shared" si="1"/>
        <v>level VI</v>
      </c>
    </row>
    <row r="69" spans="1:5" x14ac:dyDescent="0.15">
      <c r="A69" s="194">
        <v>1221</v>
      </c>
      <c r="B69" s="195" t="s">
        <v>764</v>
      </c>
      <c r="C69" s="195" t="s">
        <v>774</v>
      </c>
      <c r="D69" s="196">
        <v>1.2</v>
      </c>
      <c r="E69" s="194" t="str">
        <f t="shared" si="1"/>
        <v>level VI</v>
      </c>
    </row>
    <row r="70" spans="1:5" x14ac:dyDescent="0.15">
      <c r="A70" s="194">
        <v>1222</v>
      </c>
      <c r="B70" s="195" t="s">
        <v>764</v>
      </c>
      <c r="C70" s="195" t="s">
        <v>775</v>
      </c>
      <c r="D70" s="196">
        <v>1.2</v>
      </c>
      <c r="E70" s="194" t="str">
        <f t="shared" si="1"/>
        <v>level VI</v>
      </c>
    </row>
    <row r="71" spans="1:5" x14ac:dyDescent="0.15">
      <c r="A71" s="194">
        <v>1231</v>
      </c>
      <c r="B71" s="195" t="s">
        <v>764</v>
      </c>
      <c r="C71" s="195" t="s">
        <v>776</v>
      </c>
      <c r="D71" s="196">
        <v>1.2</v>
      </c>
      <c r="E71" s="194" t="str">
        <f t="shared" si="1"/>
        <v>level VI</v>
      </c>
    </row>
    <row r="72" spans="1:5" x14ac:dyDescent="0.15">
      <c r="A72" s="194">
        <v>1241</v>
      </c>
      <c r="B72" s="195" t="s">
        <v>764</v>
      </c>
      <c r="C72" s="195" t="s">
        <v>777</v>
      </c>
      <c r="D72" s="196">
        <v>1.2</v>
      </c>
      <c r="E72" s="194" t="str">
        <f t="shared" si="1"/>
        <v>level VI</v>
      </c>
    </row>
    <row r="73" spans="1:5" x14ac:dyDescent="0.15">
      <c r="A73" s="194">
        <v>1311</v>
      </c>
      <c r="B73" s="195" t="s">
        <v>764</v>
      </c>
      <c r="C73" s="195" t="s">
        <v>778</v>
      </c>
      <c r="D73" s="196">
        <v>1.2</v>
      </c>
      <c r="E73" s="194" t="str">
        <f t="shared" si="1"/>
        <v>level VI</v>
      </c>
    </row>
    <row r="74" spans="1:5" x14ac:dyDescent="0.15">
      <c r="A74" s="194">
        <v>1321</v>
      </c>
      <c r="B74" s="195" t="s">
        <v>764</v>
      </c>
      <c r="C74" s="195" t="s">
        <v>779</v>
      </c>
      <c r="D74" s="196">
        <v>1.2</v>
      </c>
      <c r="E74" s="194" t="str">
        <f t="shared" si="1"/>
        <v>level VI</v>
      </c>
    </row>
    <row r="75" spans="1:5" x14ac:dyDescent="0.15">
      <c r="A75" s="194">
        <v>1381</v>
      </c>
      <c r="B75" s="195" t="s">
        <v>764</v>
      </c>
      <c r="C75" s="195" t="s">
        <v>780</v>
      </c>
      <c r="D75" s="196">
        <v>1.2</v>
      </c>
      <c r="E75" s="194" t="str">
        <f t="shared" si="1"/>
        <v>level VI</v>
      </c>
    </row>
    <row r="76" spans="1:5" x14ac:dyDescent="0.15">
      <c r="A76" s="194">
        <v>1382</v>
      </c>
      <c r="B76" s="195" t="s">
        <v>764</v>
      </c>
      <c r="C76" s="195" t="s">
        <v>781</v>
      </c>
      <c r="D76" s="196">
        <v>1.2</v>
      </c>
      <c r="E76" s="194" t="str">
        <f t="shared" si="1"/>
        <v>level VI</v>
      </c>
    </row>
    <row r="77" spans="1:5" x14ac:dyDescent="0.15">
      <c r="A77" s="194">
        <v>1389</v>
      </c>
      <c r="B77" s="195" t="s">
        <v>764</v>
      </c>
      <c r="C77" s="195" t="s">
        <v>782</v>
      </c>
      <c r="D77" s="196">
        <v>1.2</v>
      </c>
      <c r="E77" s="194" t="str">
        <f t="shared" si="1"/>
        <v>level VI</v>
      </c>
    </row>
    <row r="78" spans="1:5" x14ac:dyDescent="0.15">
      <c r="A78" s="194">
        <v>1411</v>
      </c>
      <c r="B78" s="195" t="s">
        <v>764</v>
      </c>
      <c r="C78" s="195" t="s">
        <v>783</v>
      </c>
      <c r="D78" s="196">
        <v>1.2</v>
      </c>
      <c r="E78" s="194" t="str">
        <f t="shared" si="1"/>
        <v>level VI</v>
      </c>
    </row>
    <row r="79" spans="1:5" x14ac:dyDescent="0.15">
      <c r="A79" s="194">
        <v>1422</v>
      </c>
      <c r="B79" s="195" t="s">
        <v>764</v>
      </c>
      <c r="C79" s="195" t="s">
        <v>784</v>
      </c>
      <c r="D79" s="196">
        <v>1.2</v>
      </c>
      <c r="E79" s="194" t="str">
        <f t="shared" si="1"/>
        <v>level VI</v>
      </c>
    </row>
    <row r="80" spans="1:5" x14ac:dyDescent="0.15">
      <c r="A80" s="194">
        <v>1423</v>
      </c>
      <c r="B80" s="195" t="s">
        <v>764</v>
      </c>
      <c r="C80" s="195" t="s">
        <v>785</v>
      </c>
      <c r="D80" s="196">
        <v>1.2</v>
      </c>
      <c r="E80" s="194" t="str">
        <f t="shared" si="1"/>
        <v>level VI</v>
      </c>
    </row>
    <row r="81" spans="1:5" x14ac:dyDescent="0.15">
      <c r="A81" s="194">
        <v>1429</v>
      </c>
      <c r="B81" s="195" t="s">
        <v>764</v>
      </c>
      <c r="C81" s="195" t="s">
        <v>786</v>
      </c>
      <c r="D81" s="196">
        <v>1.2</v>
      </c>
      <c r="E81" s="194" t="str">
        <f t="shared" si="1"/>
        <v>level VI</v>
      </c>
    </row>
    <row r="82" spans="1:5" x14ac:dyDescent="0.15">
      <c r="A82" s="194">
        <v>1442</v>
      </c>
      <c r="B82" s="195" t="s">
        <v>764</v>
      </c>
      <c r="C82" s="195" t="s">
        <v>787</v>
      </c>
      <c r="D82" s="196">
        <v>1.2</v>
      </c>
      <c r="E82" s="194" t="str">
        <f t="shared" si="1"/>
        <v>level VI</v>
      </c>
    </row>
    <row r="83" spans="1:5" x14ac:dyDescent="0.15">
      <c r="A83" s="194">
        <v>1446</v>
      </c>
      <c r="B83" s="195" t="s">
        <v>764</v>
      </c>
      <c r="C83" s="195" t="s">
        <v>788</v>
      </c>
      <c r="D83" s="196">
        <v>1.2</v>
      </c>
      <c r="E83" s="194" t="str">
        <f t="shared" si="1"/>
        <v>level VI</v>
      </c>
    </row>
    <row r="84" spans="1:5" x14ac:dyDescent="0.15">
      <c r="A84" s="194">
        <v>1455</v>
      </c>
      <c r="B84" s="195" t="s">
        <v>764</v>
      </c>
      <c r="C84" s="195" t="s">
        <v>789</v>
      </c>
      <c r="D84" s="196">
        <v>1.2</v>
      </c>
      <c r="E84" s="194" t="str">
        <f t="shared" si="1"/>
        <v>level VI</v>
      </c>
    </row>
    <row r="85" spans="1:5" x14ac:dyDescent="0.15">
      <c r="A85" s="194">
        <v>1459</v>
      </c>
      <c r="B85" s="195" t="s">
        <v>764</v>
      </c>
      <c r="C85" s="195" t="s">
        <v>790</v>
      </c>
      <c r="D85" s="196">
        <v>1.2</v>
      </c>
      <c r="E85" s="194" t="str">
        <f t="shared" si="1"/>
        <v>level VI</v>
      </c>
    </row>
    <row r="86" spans="1:5" x14ac:dyDescent="0.15">
      <c r="A86" s="194">
        <v>1474</v>
      </c>
      <c r="B86" s="195" t="s">
        <v>764</v>
      </c>
      <c r="C86" s="195" t="s">
        <v>791</v>
      </c>
      <c r="D86" s="196">
        <v>1.2</v>
      </c>
      <c r="E86" s="194" t="str">
        <f t="shared" si="1"/>
        <v>level VI</v>
      </c>
    </row>
    <row r="87" spans="1:5" x14ac:dyDescent="0.15">
      <c r="A87" s="194">
        <v>1475</v>
      </c>
      <c r="B87" s="195" t="s">
        <v>764</v>
      </c>
      <c r="C87" s="195" t="s">
        <v>792</v>
      </c>
      <c r="D87" s="196">
        <v>1.2</v>
      </c>
      <c r="E87" s="194" t="str">
        <f t="shared" si="1"/>
        <v>level VI</v>
      </c>
    </row>
    <row r="88" spans="1:5" x14ac:dyDescent="0.15">
      <c r="A88" s="194">
        <v>1479</v>
      </c>
      <c r="B88" s="195" t="s">
        <v>764</v>
      </c>
      <c r="C88" s="195" t="s">
        <v>793</v>
      </c>
      <c r="D88" s="196">
        <v>1.2</v>
      </c>
      <c r="E88" s="194" t="str">
        <f t="shared" si="1"/>
        <v>level VI</v>
      </c>
    </row>
    <row r="89" spans="1:5" x14ac:dyDescent="0.15">
      <c r="A89" s="194">
        <v>1481</v>
      </c>
      <c r="B89" s="195" t="s">
        <v>764</v>
      </c>
      <c r="C89" s="195" t="s">
        <v>794</v>
      </c>
      <c r="D89" s="196">
        <v>1.2</v>
      </c>
      <c r="E89" s="194" t="str">
        <f t="shared" si="1"/>
        <v>level VI</v>
      </c>
    </row>
    <row r="90" spans="1:5" x14ac:dyDescent="0.15">
      <c r="A90" s="194">
        <v>1499</v>
      </c>
      <c r="B90" s="195" t="s">
        <v>764</v>
      </c>
      <c r="C90" s="195" t="s">
        <v>795</v>
      </c>
      <c r="D90" s="196">
        <v>1.2</v>
      </c>
      <c r="E90" s="194" t="str">
        <f t="shared" si="1"/>
        <v>level VI</v>
      </c>
    </row>
    <row r="91" spans="1:5" x14ac:dyDescent="0.15">
      <c r="A91" s="194">
        <v>1521</v>
      </c>
      <c r="B91" s="195" t="s">
        <v>796</v>
      </c>
      <c r="C91" s="195" t="s">
        <v>797</v>
      </c>
      <c r="D91" s="196">
        <v>1</v>
      </c>
      <c r="E91" s="194" t="str">
        <f t="shared" si="1"/>
        <v>level II</v>
      </c>
    </row>
    <row r="92" spans="1:5" x14ac:dyDescent="0.15">
      <c r="A92" s="194">
        <v>1522</v>
      </c>
      <c r="B92" s="195" t="s">
        <v>796</v>
      </c>
      <c r="C92" s="195" t="s">
        <v>798</v>
      </c>
      <c r="D92" s="196">
        <v>1</v>
      </c>
      <c r="E92" s="194" t="str">
        <f t="shared" si="1"/>
        <v>level II</v>
      </c>
    </row>
    <row r="93" spans="1:5" x14ac:dyDescent="0.15">
      <c r="A93" s="194">
        <v>1531</v>
      </c>
      <c r="B93" s="195" t="s">
        <v>796</v>
      </c>
      <c r="C93" s="195" t="s">
        <v>799</v>
      </c>
      <c r="D93" s="196">
        <v>1</v>
      </c>
      <c r="E93" s="194" t="str">
        <f t="shared" si="1"/>
        <v>level II</v>
      </c>
    </row>
    <row r="94" spans="1:5" x14ac:dyDescent="0.15">
      <c r="A94" s="194">
        <v>1541</v>
      </c>
      <c r="B94" s="195" t="s">
        <v>796</v>
      </c>
      <c r="C94" s="195" t="s">
        <v>800</v>
      </c>
      <c r="D94" s="196">
        <v>1</v>
      </c>
      <c r="E94" s="194" t="str">
        <f t="shared" si="1"/>
        <v>level II</v>
      </c>
    </row>
    <row r="95" spans="1:5" x14ac:dyDescent="0.15">
      <c r="A95" s="194">
        <v>1542</v>
      </c>
      <c r="B95" s="195" t="s">
        <v>796</v>
      </c>
      <c r="C95" s="195" t="s">
        <v>801</v>
      </c>
      <c r="D95" s="196">
        <v>1</v>
      </c>
      <c r="E95" s="194" t="str">
        <f t="shared" si="1"/>
        <v>level II</v>
      </c>
    </row>
    <row r="96" spans="1:5" x14ac:dyDescent="0.15">
      <c r="A96" s="194">
        <v>1611</v>
      </c>
      <c r="B96" s="195" t="s">
        <v>796</v>
      </c>
      <c r="C96" s="195" t="s">
        <v>802</v>
      </c>
      <c r="D96" s="196">
        <v>1.05</v>
      </c>
      <c r="E96" s="194" t="str">
        <f t="shared" si="1"/>
        <v>level III</v>
      </c>
    </row>
    <row r="97" spans="1:5" x14ac:dyDescent="0.15">
      <c r="A97" s="194">
        <v>1622</v>
      </c>
      <c r="B97" s="195" t="s">
        <v>796</v>
      </c>
      <c r="C97" s="195" t="s">
        <v>803</v>
      </c>
      <c r="D97" s="196">
        <v>1.05</v>
      </c>
      <c r="E97" s="194" t="str">
        <f t="shared" si="1"/>
        <v>level III</v>
      </c>
    </row>
    <row r="98" spans="1:5" x14ac:dyDescent="0.15">
      <c r="A98" s="194">
        <v>1623</v>
      </c>
      <c r="B98" s="195" t="s">
        <v>796</v>
      </c>
      <c r="C98" s="195" t="s">
        <v>804</v>
      </c>
      <c r="D98" s="196">
        <v>1.05</v>
      </c>
      <c r="E98" s="194" t="str">
        <f t="shared" si="1"/>
        <v>level III</v>
      </c>
    </row>
    <row r="99" spans="1:5" x14ac:dyDescent="0.15">
      <c r="A99" s="194">
        <v>1629</v>
      </c>
      <c r="B99" s="195" t="s">
        <v>796</v>
      </c>
      <c r="C99" s="195" t="s">
        <v>805</v>
      </c>
      <c r="D99" s="196">
        <v>1.05</v>
      </c>
      <c r="E99" s="194" t="str">
        <f t="shared" si="1"/>
        <v>level III</v>
      </c>
    </row>
    <row r="100" spans="1:5" x14ac:dyDescent="0.15">
      <c r="A100" s="194">
        <v>1711</v>
      </c>
      <c r="B100" s="195" t="s">
        <v>796</v>
      </c>
      <c r="C100" s="195" t="s">
        <v>806</v>
      </c>
      <c r="D100" s="196">
        <v>1.05</v>
      </c>
      <c r="E100" s="194" t="str">
        <f t="shared" si="1"/>
        <v>level III</v>
      </c>
    </row>
    <row r="101" spans="1:5" x14ac:dyDescent="0.15">
      <c r="A101" s="194">
        <v>1721</v>
      </c>
      <c r="B101" s="195" t="s">
        <v>796</v>
      </c>
      <c r="C101" s="195" t="s">
        <v>807</v>
      </c>
      <c r="D101" s="196">
        <v>1.05</v>
      </c>
      <c r="E101" s="194" t="str">
        <f t="shared" si="1"/>
        <v>level III</v>
      </c>
    </row>
    <row r="102" spans="1:5" x14ac:dyDescent="0.15">
      <c r="A102" s="194">
        <v>1731</v>
      </c>
      <c r="B102" s="195" t="s">
        <v>796</v>
      </c>
      <c r="C102" s="195" t="s">
        <v>808</v>
      </c>
      <c r="D102" s="196">
        <v>1.05</v>
      </c>
      <c r="E102" s="194" t="str">
        <f t="shared" si="1"/>
        <v>level III</v>
      </c>
    </row>
    <row r="103" spans="1:5" x14ac:dyDescent="0.15">
      <c r="A103" s="194">
        <v>1741</v>
      </c>
      <c r="B103" s="195" t="s">
        <v>796</v>
      </c>
      <c r="C103" s="195" t="s">
        <v>809</v>
      </c>
      <c r="D103" s="196">
        <v>1.05</v>
      </c>
      <c r="E103" s="194" t="str">
        <f t="shared" si="1"/>
        <v>level III</v>
      </c>
    </row>
    <row r="104" spans="1:5" x14ac:dyDescent="0.15">
      <c r="A104" s="194">
        <v>1742</v>
      </c>
      <c r="B104" s="195" t="s">
        <v>796</v>
      </c>
      <c r="C104" s="195" t="s">
        <v>810</v>
      </c>
      <c r="D104" s="196">
        <v>1.05</v>
      </c>
      <c r="E104" s="194" t="str">
        <f t="shared" si="1"/>
        <v>level III</v>
      </c>
    </row>
    <row r="105" spans="1:5" x14ac:dyDescent="0.15">
      <c r="A105" s="194">
        <v>1743</v>
      </c>
      <c r="B105" s="195" t="s">
        <v>796</v>
      </c>
      <c r="C105" s="195" t="s">
        <v>811</v>
      </c>
      <c r="D105" s="196">
        <v>1.05</v>
      </c>
      <c r="E105" s="194" t="str">
        <f t="shared" si="1"/>
        <v>level III</v>
      </c>
    </row>
    <row r="106" spans="1:5" x14ac:dyDescent="0.15">
      <c r="A106" s="194">
        <v>1751</v>
      </c>
      <c r="B106" s="195" t="s">
        <v>796</v>
      </c>
      <c r="C106" s="195" t="s">
        <v>812</v>
      </c>
      <c r="D106" s="196">
        <v>1.05</v>
      </c>
      <c r="E106" s="194" t="str">
        <f t="shared" si="1"/>
        <v>level III</v>
      </c>
    </row>
    <row r="107" spans="1:5" x14ac:dyDescent="0.15">
      <c r="A107" s="194">
        <v>1752</v>
      </c>
      <c r="B107" s="195" t="s">
        <v>796</v>
      </c>
      <c r="C107" s="195" t="s">
        <v>813</v>
      </c>
      <c r="D107" s="196">
        <v>1.05</v>
      </c>
      <c r="E107" s="194" t="str">
        <f t="shared" si="1"/>
        <v>level III</v>
      </c>
    </row>
    <row r="108" spans="1:5" x14ac:dyDescent="0.15">
      <c r="A108" s="194">
        <v>1761</v>
      </c>
      <c r="B108" s="195" t="s">
        <v>796</v>
      </c>
      <c r="C108" s="195" t="s">
        <v>814</v>
      </c>
      <c r="D108" s="196">
        <v>1.05</v>
      </c>
      <c r="E108" s="194" t="str">
        <f t="shared" si="1"/>
        <v>level III</v>
      </c>
    </row>
    <row r="109" spans="1:5" x14ac:dyDescent="0.15">
      <c r="A109" s="194">
        <v>1771</v>
      </c>
      <c r="B109" s="195" t="s">
        <v>796</v>
      </c>
      <c r="C109" s="195" t="s">
        <v>815</v>
      </c>
      <c r="D109" s="196">
        <v>1.05</v>
      </c>
      <c r="E109" s="194" t="str">
        <f t="shared" si="1"/>
        <v>level III</v>
      </c>
    </row>
    <row r="110" spans="1:5" x14ac:dyDescent="0.15">
      <c r="A110" s="194">
        <v>1781</v>
      </c>
      <c r="B110" s="195" t="s">
        <v>796</v>
      </c>
      <c r="C110" s="195" t="s">
        <v>816</v>
      </c>
      <c r="D110" s="196">
        <v>1.05</v>
      </c>
      <c r="E110" s="194" t="str">
        <f t="shared" si="1"/>
        <v>level III</v>
      </c>
    </row>
    <row r="111" spans="1:5" x14ac:dyDescent="0.15">
      <c r="A111" s="194">
        <v>1791</v>
      </c>
      <c r="B111" s="195" t="s">
        <v>796</v>
      </c>
      <c r="C111" s="195" t="s">
        <v>817</v>
      </c>
      <c r="D111" s="196">
        <v>1.05</v>
      </c>
      <c r="E111" s="194" t="str">
        <f t="shared" si="1"/>
        <v>level III</v>
      </c>
    </row>
    <row r="112" spans="1:5" x14ac:dyDescent="0.15">
      <c r="A112" s="194">
        <v>1793</v>
      </c>
      <c r="B112" s="195" t="s">
        <v>796</v>
      </c>
      <c r="C112" s="195" t="s">
        <v>818</v>
      </c>
      <c r="D112" s="196">
        <v>1.05</v>
      </c>
      <c r="E112" s="194" t="str">
        <f t="shared" si="1"/>
        <v>level III</v>
      </c>
    </row>
    <row r="113" spans="1:5" x14ac:dyDescent="0.15">
      <c r="A113" s="194">
        <v>1794</v>
      </c>
      <c r="B113" s="195" t="s">
        <v>796</v>
      </c>
      <c r="C113" s="195" t="s">
        <v>819</v>
      </c>
      <c r="D113" s="196">
        <v>1.05</v>
      </c>
      <c r="E113" s="194" t="str">
        <f t="shared" si="1"/>
        <v>level III</v>
      </c>
    </row>
    <row r="114" spans="1:5" x14ac:dyDescent="0.15">
      <c r="A114" s="194">
        <v>1795</v>
      </c>
      <c r="B114" s="195" t="s">
        <v>796</v>
      </c>
      <c r="C114" s="195" t="s">
        <v>820</v>
      </c>
      <c r="D114" s="196">
        <v>1.05</v>
      </c>
      <c r="E114" s="194" t="str">
        <f t="shared" si="1"/>
        <v>level III</v>
      </c>
    </row>
    <row r="115" spans="1:5" x14ac:dyDescent="0.15">
      <c r="A115" s="194">
        <v>1796</v>
      </c>
      <c r="B115" s="195" t="s">
        <v>796</v>
      </c>
      <c r="C115" s="195" t="s">
        <v>821</v>
      </c>
      <c r="D115" s="196">
        <v>1.05</v>
      </c>
      <c r="E115" s="194" t="str">
        <f t="shared" si="1"/>
        <v>level III</v>
      </c>
    </row>
    <row r="116" spans="1:5" x14ac:dyDescent="0.15">
      <c r="A116" s="194">
        <v>1799</v>
      </c>
      <c r="B116" s="195" t="s">
        <v>796</v>
      </c>
      <c r="C116" s="195" t="s">
        <v>822</v>
      </c>
      <c r="D116" s="196">
        <v>1.05</v>
      </c>
      <c r="E116" s="194" t="str">
        <f t="shared" si="1"/>
        <v>level III</v>
      </c>
    </row>
    <row r="117" spans="1:5" x14ac:dyDescent="0.15">
      <c r="A117" s="194">
        <v>2011</v>
      </c>
      <c r="B117" s="195" t="s">
        <v>823</v>
      </c>
      <c r="C117" s="195" t="s">
        <v>824</v>
      </c>
      <c r="D117" s="196">
        <v>1.1499999999999999</v>
      </c>
      <c r="E117" s="194" t="str">
        <f t="shared" si="1"/>
        <v>level V</v>
      </c>
    </row>
    <row r="118" spans="1:5" x14ac:dyDescent="0.15">
      <c r="A118" s="194">
        <v>2013</v>
      </c>
      <c r="B118" s="195" t="s">
        <v>823</v>
      </c>
      <c r="C118" s="195" t="s">
        <v>825</v>
      </c>
      <c r="D118" s="196">
        <v>1.1499999999999999</v>
      </c>
      <c r="E118" s="194" t="str">
        <f t="shared" si="1"/>
        <v>level V</v>
      </c>
    </row>
    <row r="119" spans="1:5" x14ac:dyDescent="0.15">
      <c r="A119" s="194">
        <v>2015</v>
      </c>
      <c r="B119" s="195" t="s">
        <v>823</v>
      </c>
      <c r="C119" s="195" t="s">
        <v>826</v>
      </c>
      <c r="D119" s="196">
        <v>1.1499999999999999</v>
      </c>
      <c r="E119" s="194" t="str">
        <f t="shared" si="1"/>
        <v>level V</v>
      </c>
    </row>
    <row r="120" spans="1:5" x14ac:dyDescent="0.15">
      <c r="A120" s="194">
        <v>2021</v>
      </c>
      <c r="B120" s="195" t="s">
        <v>823</v>
      </c>
      <c r="C120" s="195" t="s">
        <v>827</v>
      </c>
      <c r="D120" s="196">
        <v>0.95</v>
      </c>
      <c r="E120" s="194" t="str">
        <f t="shared" si="1"/>
        <v>level I</v>
      </c>
    </row>
    <row r="121" spans="1:5" x14ac:dyDescent="0.15">
      <c r="A121" s="194">
        <v>2022</v>
      </c>
      <c r="B121" s="195" t="s">
        <v>823</v>
      </c>
      <c r="C121" s="195" t="s">
        <v>828</v>
      </c>
      <c r="D121" s="196">
        <v>0.95</v>
      </c>
      <c r="E121" s="194" t="str">
        <f t="shared" si="1"/>
        <v>level I</v>
      </c>
    </row>
    <row r="122" spans="1:5" x14ac:dyDescent="0.15">
      <c r="A122" s="194">
        <v>2023</v>
      </c>
      <c r="B122" s="195" t="s">
        <v>823</v>
      </c>
      <c r="C122" s="195" t="s">
        <v>829</v>
      </c>
      <c r="D122" s="196">
        <v>0.95</v>
      </c>
      <c r="E122" s="194" t="str">
        <f t="shared" si="1"/>
        <v>level I</v>
      </c>
    </row>
    <row r="123" spans="1:5" x14ac:dyDescent="0.15">
      <c r="A123" s="194">
        <v>2024</v>
      </c>
      <c r="B123" s="195" t="s">
        <v>823</v>
      </c>
      <c r="C123" s="195" t="s">
        <v>830</v>
      </c>
      <c r="D123" s="196">
        <v>0.95</v>
      </c>
      <c r="E123" s="194" t="str">
        <f t="shared" si="1"/>
        <v>level I</v>
      </c>
    </row>
    <row r="124" spans="1:5" x14ac:dyDescent="0.15">
      <c r="A124" s="194">
        <v>2026</v>
      </c>
      <c r="B124" s="195" t="s">
        <v>823</v>
      </c>
      <c r="C124" s="195" t="s">
        <v>831</v>
      </c>
      <c r="D124" s="196">
        <v>0.95</v>
      </c>
      <c r="E124" s="194" t="str">
        <f t="shared" si="1"/>
        <v>level I</v>
      </c>
    </row>
    <row r="125" spans="1:5" x14ac:dyDescent="0.15">
      <c r="A125" s="194">
        <v>2032</v>
      </c>
      <c r="B125" s="195" t="s">
        <v>823</v>
      </c>
      <c r="C125" s="195" t="s">
        <v>832</v>
      </c>
      <c r="D125" s="196">
        <v>0.95</v>
      </c>
      <c r="E125" s="194" t="str">
        <f t="shared" si="1"/>
        <v>level I</v>
      </c>
    </row>
    <row r="126" spans="1:5" x14ac:dyDescent="0.15">
      <c r="A126" s="194">
        <v>2033</v>
      </c>
      <c r="B126" s="195" t="s">
        <v>823</v>
      </c>
      <c r="C126" s="195" t="s">
        <v>833</v>
      </c>
      <c r="D126" s="196">
        <v>0.95</v>
      </c>
      <c r="E126" s="194" t="str">
        <f t="shared" si="1"/>
        <v>level I</v>
      </c>
    </row>
    <row r="127" spans="1:5" x14ac:dyDescent="0.15">
      <c r="A127" s="194">
        <v>2034</v>
      </c>
      <c r="B127" s="195" t="s">
        <v>823</v>
      </c>
      <c r="C127" s="195" t="s">
        <v>834</v>
      </c>
      <c r="D127" s="196">
        <v>0.95</v>
      </c>
      <c r="E127" s="194" t="str">
        <f t="shared" si="1"/>
        <v>level I</v>
      </c>
    </row>
    <row r="128" spans="1:5" x14ac:dyDescent="0.15">
      <c r="A128" s="194">
        <v>2035</v>
      </c>
      <c r="B128" s="195" t="s">
        <v>823</v>
      </c>
      <c r="C128" s="195" t="s">
        <v>835</v>
      </c>
      <c r="D128" s="196">
        <v>0.95</v>
      </c>
      <c r="E128" s="194" t="str">
        <f t="shared" si="1"/>
        <v>level I</v>
      </c>
    </row>
    <row r="129" spans="1:5" x14ac:dyDescent="0.15">
      <c r="A129" s="194">
        <v>2037</v>
      </c>
      <c r="B129" s="195" t="s">
        <v>823</v>
      </c>
      <c r="C129" s="195" t="s">
        <v>836</v>
      </c>
      <c r="D129" s="196">
        <v>0.95</v>
      </c>
      <c r="E129" s="194" t="str">
        <f t="shared" si="1"/>
        <v>level I</v>
      </c>
    </row>
    <row r="130" spans="1:5" x14ac:dyDescent="0.15">
      <c r="A130" s="194">
        <v>2038</v>
      </c>
      <c r="B130" s="195" t="s">
        <v>823</v>
      </c>
      <c r="C130" s="195" t="s">
        <v>837</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823</v>
      </c>
      <c r="C131" s="195" t="s">
        <v>838</v>
      </c>
      <c r="D131" s="196">
        <v>0.95</v>
      </c>
      <c r="E131" s="194" t="str">
        <f t="shared" si="2"/>
        <v>level I</v>
      </c>
    </row>
    <row r="132" spans="1:5" x14ac:dyDescent="0.15">
      <c r="A132" s="194">
        <v>2043</v>
      </c>
      <c r="B132" s="195" t="s">
        <v>823</v>
      </c>
      <c r="C132" s="195" t="s">
        <v>839</v>
      </c>
      <c r="D132" s="196">
        <v>0.95</v>
      </c>
      <c r="E132" s="194" t="str">
        <f t="shared" si="2"/>
        <v>level I</v>
      </c>
    </row>
    <row r="133" spans="1:5" x14ac:dyDescent="0.15">
      <c r="A133" s="194">
        <v>2044</v>
      </c>
      <c r="B133" s="195" t="s">
        <v>823</v>
      </c>
      <c r="C133" s="195" t="s">
        <v>840</v>
      </c>
      <c r="D133" s="196">
        <v>0.95</v>
      </c>
      <c r="E133" s="194" t="str">
        <f t="shared" si="2"/>
        <v>level I</v>
      </c>
    </row>
    <row r="134" spans="1:5" x14ac:dyDescent="0.15">
      <c r="A134" s="194">
        <v>2045</v>
      </c>
      <c r="B134" s="195" t="s">
        <v>823</v>
      </c>
      <c r="C134" s="195" t="s">
        <v>841</v>
      </c>
      <c r="D134" s="196">
        <v>0.95</v>
      </c>
      <c r="E134" s="194" t="str">
        <f t="shared" si="2"/>
        <v>level I</v>
      </c>
    </row>
    <row r="135" spans="1:5" x14ac:dyDescent="0.15">
      <c r="A135" s="194">
        <v>2046</v>
      </c>
      <c r="B135" s="195" t="s">
        <v>823</v>
      </c>
      <c r="C135" s="195" t="s">
        <v>842</v>
      </c>
      <c r="D135" s="196">
        <v>0.95</v>
      </c>
      <c r="E135" s="194" t="str">
        <f t="shared" si="2"/>
        <v>level I</v>
      </c>
    </row>
    <row r="136" spans="1:5" x14ac:dyDescent="0.15">
      <c r="A136" s="194">
        <v>2047</v>
      </c>
      <c r="B136" s="195" t="s">
        <v>823</v>
      </c>
      <c r="C136" s="195" t="s">
        <v>843</v>
      </c>
      <c r="D136" s="196">
        <v>0.95</v>
      </c>
      <c r="E136" s="194" t="str">
        <f t="shared" si="2"/>
        <v>level I</v>
      </c>
    </row>
    <row r="137" spans="1:5" x14ac:dyDescent="0.15">
      <c r="A137" s="194">
        <v>2048</v>
      </c>
      <c r="B137" s="195" t="s">
        <v>823</v>
      </c>
      <c r="C137" s="195" t="s">
        <v>844</v>
      </c>
      <c r="D137" s="196">
        <v>0.95</v>
      </c>
      <c r="E137" s="194" t="str">
        <f t="shared" si="2"/>
        <v>level I</v>
      </c>
    </row>
    <row r="138" spans="1:5" x14ac:dyDescent="0.15">
      <c r="A138" s="194">
        <v>2051</v>
      </c>
      <c r="B138" s="195" t="s">
        <v>823</v>
      </c>
      <c r="C138" s="195" t="s">
        <v>845</v>
      </c>
      <c r="D138" s="196">
        <v>0.95</v>
      </c>
      <c r="E138" s="194" t="str">
        <f t="shared" si="2"/>
        <v>level I</v>
      </c>
    </row>
    <row r="139" spans="1:5" x14ac:dyDescent="0.15">
      <c r="A139" s="194">
        <v>2052</v>
      </c>
      <c r="B139" s="195" t="s">
        <v>823</v>
      </c>
      <c r="C139" s="195" t="s">
        <v>846</v>
      </c>
      <c r="D139" s="196">
        <v>0.95</v>
      </c>
      <c r="E139" s="194" t="str">
        <f t="shared" si="2"/>
        <v>level I</v>
      </c>
    </row>
    <row r="140" spans="1:5" x14ac:dyDescent="0.15">
      <c r="A140" s="194">
        <v>2053</v>
      </c>
      <c r="B140" s="195" t="s">
        <v>823</v>
      </c>
      <c r="C140" s="195" t="s">
        <v>847</v>
      </c>
      <c r="D140" s="196">
        <v>0.95</v>
      </c>
      <c r="E140" s="194" t="str">
        <f t="shared" si="2"/>
        <v>level I</v>
      </c>
    </row>
    <row r="141" spans="1:5" x14ac:dyDescent="0.15">
      <c r="A141" s="194">
        <v>2061</v>
      </c>
      <c r="B141" s="195" t="s">
        <v>823</v>
      </c>
      <c r="C141" s="195" t="s">
        <v>848</v>
      </c>
      <c r="D141" s="196">
        <v>0.95</v>
      </c>
      <c r="E141" s="194" t="str">
        <f t="shared" si="2"/>
        <v>level I</v>
      </c>
    </row>
    <row r="142" spans="1:5" x14ac:dyDescent="0.15">
      <c r="A142" s="194">
        <v>2062</v>
      </c>
      <c r="B142" s="195" t="s">
        <v>823</v>
      </c>
      <c r="C142" s="195" t="s">
        <v>849</v>
      </c>
      <c r="D142" s="196">
        <v>0.95</v>
      </c>
      <c r="E142" s="194" t="str">
        <f t="shared" si="2"/>
        <v>level I</v>
      </c>
    </row>
    <row r="143" spans="1:5" x14ac:dyDescent="0.15">
      <c r="A143" s="194">
        <v>2063</v>
      </c>
      <c r="B143" s="195" t="s">
        <v>823</v>
      </c>
      <c r="C143" s="195" t="s">
        <v>850</v>
      </c>
      <c r="D143" s="196">
        <v>0.95</v>
      </c>
      <c r="E143" s="194" t="str">
        <f t="shared" si="2"/>
        <v>level I</v>
      </c>
    </row>
    <row r="144" spans="1:5" x14ac:dyDescent="0.15">
      <c r="A144" s="194">
        <v>2064</v>
      </c>
      <c r="B144" s="195" t="s">
        <v>823</v>
      </c>
      <c r="C144" s="195" t="s">
        <v>851</v>
      </c>
      <c r="D144" s="196">
        <v>0.95</v>
      </c>
      <c r="E144" s="194" t="str">
        <f t="shared" si="2"/>
        <v>level I</v>
      </c>
    </row>
    <row r="145" spans="1:5" x14ac:dyDescent="0.15">
      <c r="A145" s="194">
        <v>2066</v>
      </c>
      <c r="B145" s="195" t="s">
        <v>823</v>
      </c>
      <c r="C145" s="195" t="s">
        <v>852</v>
      </c>
      <c r="D145" s="196">
        <v>0.95</v>
      </c>
      <c r="E145" s="194" t="str">
        <f t="shared" si="2"/>
        <v>level I</v>
      </c>
    </row>
    <row r="146" spans="1:5" x14ac:dyDescent="0.15">
      <c r="A146" s="194">
        <v>2067</v>
      </c>
      <c r="B146" s="195" t="s">
        <v>823</v>
      </c>
      <c r="C146" s="195" t="s">
        <v>853</v>
      </c>
      <c r="D146" s="196">
        <v>0.95</v>
      </c>
      <c r="E146" s="194" t="str">
        <f t="shared" si="2"/>
        <v>level I</v>
      </c>
    </row>
    <row r="147" spans="1:5" x14ac:dyDescent="0.15">
      <c r="A147" s="194">
        <v>2068</v>
      </c>
      <c r="B147" s="195" t="s">
        <v>823</v>
      </c>
      <c r="C147" s="195" t="s">
        <v>854</v>
      </c>
      <c r="D147" s="196">
        <v>0.95</v>
      </c>
      <c r="E147" s="194" t="str">
        <f t="shared" si="2"/>
        <v>level I</v>
      </c>
    </row>
    <row r="148" spans="1:5" x14ac:dyDescent="0.15">
      <c r="A148" s="194">
        <v>2074</v>
      </c>
      <c r="B148" s="195" t="s">
        <v>823</v>
      </c>
      <c r="C148" s="195" t="s">
        <v>855</v>
      </c>
      <c r="D148" s="196">
        <v>0.95</v>
      </c>
      <c r="E148" s="194" t="str">
        <f t="shared" si="2"/>
        <v>level I</v>
      </c>
    </row>
    <row r="149" spans="1:5" x14ac:dyDescent="0.15">
      <c r="A149" s="194">
        <v>2075</v>
      </c>
      <c r="B149" s="195" t="s">
        <v>823</v>
      </c>
      <c r="C149" s="195" t="s">
        <v>856</v>
      </c>
      <c r="D149" s="196">
        <v>0.95</v>
      </c>
      <c r="E149" s="194" t="str">
        <f t="shared" si="2"/>
        <v>level I</v>
      </c>
    </row>
    <row r="150" spans="1:5" x14ac:dyDescent="0.15">
      <c r="A150" s="194">
        <v>2076</v>
      </c>
      <c r="B150" s="195" t="s">
        <v>823</v>
      </c>
      <c r="C150" s="195" t="s">
        <v>857</v>
      </c>
      <c r="D150" s="196">
        <v>0.95</v>
      </c>
      <c r="E150" s="194" t="str">
        <f t="shared" si="2"/>
        <v>level I</v>
      </c>
    </row>
    <row r="151" spans="1:5" x14ac:dyDescent="0.15">
      <c r="A151" s="194">
        <v>2077</v>
      </c>
      <c r="B151" s="195" t="s">
        <v>823</v>
      </c>
      <c r="C151" s="195" t="s">
        <v>858</v>
      </c>
      <c r="D151" s="196">
        <v>0.95</v>
      </c>
      <c r="E151" s="194" t="str">
        <f t="shared" si="2"/>
        <v>level I</v>
      </c>
    </row>
    <row r="152" spans="1:5" x14ac:dyDescent="0.15">
      <c r="A152" s="194">
        <v>2079</v>
      </c>
      <c r="B152" s="195" t="s">
        <v>823</v>
      </c>
      <c r="C152" s="195" t="s">
        <v>859</v>
      </c>
      <c r="D152" s="196">
        <v>0.95</v>
      </c>
      <c r="E152" s="194" t="str">
        <f t="shared" si="2"/>
        <v>level I</v>
      </c>
    </row>
    <row r="153" spans="1:5" x14ac:dyDescent="0.15">
      <c r="A153" s="194">
        <v>2082</v>
      </c>
      <c r="B153" s="195" t="s">
        <v>823</v>
      </c>
      <c r="C153" s="195" t="s">
        <v>860</v>
      </c>
      <c r="D153" s="196">
        <v>0.95</v>
      </c>
      <c r="E153" s="194" t="str">
        <f t="shared" si="2"/>
        <v>level I</v>
      </c>
    </row>
    <row r="154" spans="1:5" x14ac:dyDescent="0.15">
      <c r="A154" s="194">
        <v>2083</v>
      </c>
      <c r="B154" s="195" t="s">
        <v>823</v>
      </c>
      <c r="C154" s="195" t="s">
        <v>861</v>
      </c>
      <c r="D154" s="196">
        <v>0.95</v>
      </c>
      <c r="E154" s="194" t="str">
        <f t="shared" si="2"/>
        <v>level I</v>
      </c>
    </row>
    <row r="155" spans="1:5" x14ac:dyDescent="0.15">
      <c r="A155" s="194">
        <v>2084</v>
      </c>
      <c r="B155" s="195" t="s">
        <v>823</v>
      </c>
      <c r="C155" s="195" t="s">
        <v>862</v>
      </c>
      <c r="D155" s="196">
        <v>0.95</v>
      </c>
      <c r="E155" s="194" t="str">
        <f t="shared" si="2"/>
        <v>level I</v>
      </c>
    </row>
    <row r="156" spans="1:5" x14ac:dyDescent="0.15">
      <c r="A156" s="194">
        <v>2085</v>
      </c>
      <c r="B156" s="195" t="s">
        <v>823</v>
      </c>
      <c r="C156" s="195" t="s">
        <v>863</v>
      </c>
      <c r="D156" s="196">
        <v>0.95</v>
      </c>
      <c r="E156" s="194" t="str">
        <f t="shared" si="2"/>
        <v>level I</v>
      </c>
    </row>
    <row r="157" spans="1:5" x14ac:dyDescent="0.15">
      <c r="A157" s="194">
        <v>2086</v>
      </c>
      <c r="B157" s="195" t="s">
        <v>823</v>
      </c>
      <c r="C157" s="195" t="s">
        <v>864</v>
      </c>
      <c r="D157" s="196">
        <v>0.95</v>
      </c>
      <c r="E157" s="194" t="str">
        <f t="shared" si="2"/>
        <v>level I</v>
      </c>
    </row>
    <row r="158" spans="1:5" x14ac:dyDescent="0.15">
      <c r="A158" s="194">
        <v>2087</v>
      </c>
      <c r="B158" s="195" t="s">
        <v>823</v>
      </c>
      <c r="C158" s="195" t="s">
        <v>865</v>
      </c>
      <c r="D158" s="196">
        <v>0.95</v>
      </c>
      <c r="E158" s="194" t="str">
        <f t="shared" si="2"/>
        <v>level I</v>
      </c>
    </row>
    <row r="159" spans="1:5" x14ac:dyDescent="0.15">
      <c r="A159" s="194">
        <v>2091</v>
      </c>
      <c r="B159" s="195" t="s">
        <v>823</v>
      </c>
      <c r="C159" s="195" t="s">
        <v>866</v>
      </c>
      <c r="D159" s="196">
        <v>0.95</v>
      </c>
      <c r="E159" s="194" t="str">
        <f t="shared" si="2"/>
        <v>level I</v>
      </c>
    </row>
    <row r="160" spans="1:5" x14ac:dyDescent="0.15">
      <c r="A160" s="194">
        <v>2092</v>
      </c>
      <c r="B160" s="195" t="s">
        <v>823</v>
      </c>
      <c r="C160" s="195" t="s">
        <v>867</v>
      </c>
      <c r="D160" s="196">
        <v>0.95</v>
      </c>
      <c r="E160" s="194" t="str">
        <f t="shared" si="2"/>
        <v>level I</v>
      </c>
    </row>
    <row r="161" spans="1:5" x14ac:dyDescent="0.15">
      <c r="A161" s="194">
        <v>2095</v>
      </c>
      <c r="B161" s="195" t="s">
        <v>823</v>
      </c>
      <c r="C161" s="195" t="s">
        <v>868</v>
      </c>
      <c r="D161" s="196">
        <v>0.95</v>
      </c>
      <c r="E161" s="194" t="str">
        <f t="shared" si="2"/>
        <v>level I</v>
      </c>
    </row>
    <row r="162" spans="1:5" x14ac:dyDescent="0.15">
      <c r="A162" s="194">
        <v>2096</v>
      </c>
      <c r="B162" s="195" t="s">
        <v>823</v>
      </c>
      <c r="C162" s="195" t="s">
        <v>869</v>
      </c>
      <c r="D162" s="196">
        <v>0.95</v>
      </c>
      <c r="E162" s="194" t="str">
        <f t="shared" si="2"/>
        <v>level I</v>
      </c>
    </row>
    <row r="163" spans="1:5" x14ac:dyDescent="0.15">
      <c r="A163" s="194">
        <v>2097</v>
      </c>
      <c r="B163" s="195" t="s">
        <v>823</v>
      </c>
      <c r="C163" s="195" t="s">
        <v>870</v>
      </c>
      <c r="D163" s="196">
        <v>0.95</v>
      </c>
      <c r="E163" s="194" t="str">
        <f t="shared" si="2"/>
        <v>level I</v>
      </c>
    </row>
    <row r="164" spans="1:5" x14ac:dyDescent="0.15">
      <c r="A164" s="194">
        <v>2098</v>
      </c>
      <c r="B164" s="195" t="s">
        <v>823</v>
      </c>
      <c r="C164" s="195" t="s">
        <v>871</v>
      </c>
      <c r="D164" s="196">
        <v>0.95</v>
      </c>
      <c r="E164" s="194" t="str">
        <f t="shared" si="2"/>
        <v>level I</v>
      </c>
    </row>
    <row r="165" spans="1:5" x14ac:dyDescent="0.15">
      <c r="A165" s="194">
        <v>2099</v>
      </c>
      <c r="B165" s="195" t="s">
        <v>823</v>
      </c>
      <c r="C165" s="195" t="s">
        <v>872</v>
      </c>
      <c r="D165" s="196">
        <v>0.95</v>
      </c>
      <c r="E165" s="194" t="str">
        <f t="shared" si="2"/>
        <v>level I</v>
      </c>
    </row>
    <row r="166" spans="1:5" x14ac:dyDescent="0.15">
      <c r="A166" s="194">
        <v>2111</v>
      </c>
      <c r="B166" s="195" t="s">
        <v>823</v>
      </c>
      <c r="C166" s="195" t="s">
        <v>873</v>
      </c>
      <c r="D166" s="196">
        <v>1.05</v>
      </c>
      <c r="E166" s="194" t="str">
        <f t="shared" si="2"/>
        <v>level III</v>
      </c>
    </row>
    <row r="167" spans="1:5" x14ac:dyDescent="0.15">
      <c r="A167" s="194">
        <v>2121</v>
      </c>
      <c r="B167" s="195" t="s">
        <v>823</v>
      </c>
      <c r="C167" s="195" t="s">
        <v>874</v>
      </c>
      <c r="D167" s="196">
        <v>1.05</v>
      </c>
      <c r="E167" s="194" t="str">
        <f t="shared" si="2"/>
        <v>level III</v>
      </c>
    </row>
    <row r="168" spans="1:5" x14ac:dyDescent="0.15">
      <c r="A168" s="194">
        <v>2131</v>
      </c>
      <c r="B168" s="195" t="s">
        <v>823</v>
      </c>
      <c r="C168" s="195" t="s">
        <v>875</v>
      </c>
      <c r="D168" s="196">
        <v>1.05</v>
      </c>
      <c r="E168" s="194" t="str">
        <f t="shared" si="2"/>
        <v>level III</v>
      </c>
    </row>
    <row r="169" spans="1:5" x14ac:dyDescent="0.15">
      <c r="A169" s="194">
        <v>2141</v>
      </c>
      <c r="B169" s="195" t="s">
        <v>823</v>
      </c>
      <c r="C169" s="195" t="s">
        <v>876</v>
      </c>
      <c r="D169" s="196">
        <v>1.05</v>
      </c>
      <c r="E169" s="194" t="str">
        <f t="shared" si="2"/>
        <v>level III</v>
      </c>
    </row>
    <row r="170" spans="1:5" x14ac:dyDescent="0.15">
      <c r="A170" s="194">
        <v>2211</v>
      </c>
      <c r="B170" s="195" t="s">
        <v>823</v>
      </c>
      <c r="C170" s="195" t="s">
        <v>877</v>
      </c>
      <c r="D170" s="196">
        <v>0.95</v>
      </c>
      <c r="E170" s="194" t="str">
        <f t="shared" si="2"/>
        <v>level I</v>
      </c>
    </row>
    <row r="171" spans="1:5" x14ac:dyDescent="0.15">
      <c r="A171" s="194">
        <v>2221</v>
      </c>
      <c r="B171" s="195" t="s">
        <v>823</v>
      </c>
      <c r="C171" s="195" t="s">
        <v>878</v>
      </c>
      <c r="D171" s="196">
        <v>0.95</v>
      </c>
      <c r="E171" s="194" t="str">
        <f t="shared" si="2"/>
        <v>level I</v>
      </c>
    </row>
    <row r="172" spans="1:5" x14ac:dyDescent="0.15">
      <c r="A172" s="194">
        <v>2231</v>
      </c>
      <c r="B172" s="195" t="s">
        <v>823</v>
      </c>
      <c r="C172" s="195" t="s">
        <v>879</v>
      </c>
      <c r="D172" s="196">
        <v>0.95</v>
      </c>
      <c r="E172" s="194" t="str">
        <f t="shared" si="2"/>
        <v>level I</v>
      </c>
    </row>
    <row r="173" spans="1:5" x14ac:dyDescent="0.15">
      <c r="A173" s="194">
        <v>2241</v>
      </c>
      <c r="B173" s="195" t="s">
        <v>823</v>
      </c>
      <c r="C173" s="195" t="s">
        <v>880</v>
      </c>
      <c r="D173" s="196">
        <v>0.95</v>
      </c>
      <c r="E173" s="194" t="str">
        <f t="shared" si="2"/>
        <v>level I</v>
      </c>
    </row>
    <row r="174" spans="1:5" x14ac:dyDescent="0.15">
      <c r="A174" s="194">
        <v>2251</v>
      </c>
      <c r="B174" s="195" t="s">
        <v>823</v>
      </c>
      <c r="C174" s="195" t="s">
        <v>881</v>
      </c>
      <c r="D174" s="196">
        <v>0.95</v>
      </c>
      <c r="E174" s="194" t="str">
        <f t="shared" si="2"/>
        <v>level I</v>
      </c>
    </row>
    <row r="175" spans="1:5" x14ac:dyDescent="0.15">
      <c r="A175" s="194">
        <v>2252</v>
      </c>
      <c r="B175" s="195" t="s">
        <v>823</v>
      </c>
      <c r="C175" s="195" t="s">
        <v>882</v>
      </c>
      <c r="D175" s="196">
        <v>0.95</v>
      </c>
      <c r="E175" s="194" t="str">
        <f t="shared" si="2"/>
        <v>level I</v>
      </c>
    </row>
    <row r="176" spans="1:5" x14ac:dyDescent="0.15">
      <c r="A176" s="194">
        <v>2253</v>
      </c>
      <c r="B176" s="195" t="s">
        <v>823</v>
      </c>
      <c r="C176" s="195" t="s">
        <v>883</v>
      </c>
      <c r="D176" s="196">
        <v>0.95</v>
      </c>
      <c r="E176" s="194" t="str">
        <f t="shared" si="2"/>
        <v>level I</v>
      </c>
    </row>
    <row r="177" spans="1:5" x14ac:dyDescent="0.15">
      <c r="A177" s="194">
        <v>2254</v>
      </c>
      <c r="B177" s="195" t="s">
        <v>823</v>
      </c>
      <c r="C177" s="195" t="s">
        <v>884</v>
      </c>
      <c r="D177" s="196">
        <v>0.95</v>
      </c>
      <c r="E177" s="194" t="str">
        <f t="shared" si="2"/>
        <v>level I</v>
      </c>
    </row>
    <row r="178" spans="1:5" x14ac:dyDescent="0.15">
      <c r="A178" s="194">
        <v>2257</v>
      </c>
      <c r="B178" s="195" t="s">
        <v>823</v>
      </c>
      <c r="C178" s="195" t="s">
        <v>885</v>
      </c>
      <c r="D178" s="196">
        <v>0.95</v>
      </c>
      <c r="E178" s="194" t="str">
        <f t="shared" si="2"/>
        <v>level I</v>
      </c>
    </row>
    <row r="179" spans="1:5" x14ac:dyDescent="0.15">
      <c r="A179" s="194">
        <v>2258</v>
      </c>
      <c r="B179" s="195" t="s">
        <v>823</v>
      </c>
      <c r="C179" s="195" t="s">
        <v>886</v>
      </c>
      <c r="D179" s="196">
        <v>0.95</v>
      </c>
      <c r="E179" s="194" t="str">
        <f t="shared" si="2"/>
        <v>level I</v>
      </c>
    </row>
    <row r="180" spans="1:5" x14ac:dyDescent="0.15">
      <c r="A180" s="194">
        <v>2259</v>
      </c>
      <c r="B180" s="195" t="s">
        <v>823</v>
      </c>
      <c r="C180" s="195" t="s">
        <v>887</v>
      </c>
      <c r="D180" s="196">
        <v>0.95</v>
      </c>
      <c r="E180" s="194" t="str">
        <f t="shared" si="2"/>
        <v>level I</v>
      </c>
    </row>
    <row r="181" spans="1:5" x14ac:dyDescent="0.15">
      <c r="A181" s="194">
        <v>2261</v>
      </c>
      <c r="B181" s="195" t="s">
        <v>823</v>
      </c>
      <c r="C181" s="195" t="s">
        <v>888</v>
      </c>
      <c r="D181" s="196">
        <v>0.95</v>
      </c>
      <c r="E181" s="194" t="str">
        <f t="shared" si="2"/>
        <v>level I</v>
      </c>
    </row>
    <row r="182" spans="1:5" x14ac:dyDescent="0.15">
      <c r="A182" s="194">
        <v>2262</v>
      </c>
      <c r="B182" s="195" t="s">
        <v>823</v>
      </c>
      <c r="C182" s="195" t="s">
        <v>889</v>
      </c>
      <c r="D182" s="196">
        <v>0.95</v>
      </c>
      <c r="E182" s="194" t="str">
        <f t="shared" si="2"/>
        <v>level I</v>
      </c>
    </row>
    <row r="183" spans="1:5" x14ac:dyDescent="0.15">
      <c r="A183" s="194">
        <v>2269</v>
      </c>
      <c r="B183" s="195" t="s">
        <v>823</v>
      </c>
      <c r="C183" s="195" t="s">
        <v>890</v>
      </c>
      <c r="D183" s="196">
        <v>0.95</v>
      </c>
      <c r="E183" s="194" t="str">
        <f t="shared" si="2"/>
        <v>level I</v>
      </c>
    </row>
    <row r="184" spans="1:5" x14ac:dyDescent="0.15">
      <c r="A184" s="194">
        <v>2273</v>
      </c>
      <c r="B184" s="195" t="s">
        <v>823</v>
      </c>
      <c r="C184" s="195" t="s">
        <v>891</v>
      </c>
      <c r="D184" s="196">
        <v>0.95</v>
      </c>
      <c r="E184" s="194" t="str">
        <f t="shared" si="2"/>
        <v>level I</v>
      </c>
    </row>
    <row r="185" spans="1:5" x14ac:dyDescent="0.15">
      <c r="A185" s="194">
        <v>2281</v>
      </c>
      <c r="B185" s="195" t="s">
        <v>823</v>
      </c>
      <c r="C185" s="195" t="s">
        <v>892</v>
      </c>
      <c r="D185" s="196">
        <v>0.95</v>
      </c>
      <c r="E185" s="194" t="str">
        <f t="shared" si="2"/>
        <v>level I</v>
      </c>
    </row>
    <row r="186" spans="1:5" x14ac:dyDescent="0.15">
      <c r="A186" s="194">
        <v>2282</v>
      </c>
      <c r="B186" s="195" t="s">
        <v>823</v>
      </c>
      <c r="C186" s="195" t="s">
        <v>893</v>
      </c>
      <c r="D186" s="196">
        <v>0.95</v>
      </c>
      <c r="E186" s="194" t="str">
        <f t="shared" si="2"/>
        <v>level I</v>
      </c>
    </row>
    <row r="187" spans="1:5" x14ac:dyDescent="0.15">
      <c r="A187" s="194">
        <v>2284</v>
      </c>
      <c r="B187" s="195" t="s">
        <v>823</v>
      </c>
      <c r="C187" s="195" t="s">
        <v>894</v>
      </c>
      <c r="D187" s="196">
        <v>0.95</v>
      </c>
      <c r="E187" s="194" t="str">
        <f t="shared" si="2"/>
        <v>level I</v>
      </c>
    </row>
    <row r="188" spans="1:5" x14ac:dyDescent="0.15">
      <c r="A188" s="194">
        <v>2295</v>
      </c>
      <c r="B188" s="195" t="s">
        <v>823</v>
      </c>
      <c r="C188" s="195" t="s">
        <v>895</v>
      </c>
      <c r="D188" s="196">
        <v>0.95</v>
      </c>
      <c r="E188" s="194" t="str">
        <f t="shared" si="2"/>
        <v>level I</v>
      </c>
    </row>
    <row r="189" spans="1:5" x14ac:dyDescent="0.15">
      <c r="A189" s="194">
        <v>2296</v>
      </c>
      <c r="B189" s="195" t="s">
        <v>823</v>
      </c>
      <c r="C189" s="195" t="s">
        <v>896</v>
      </c>
      <c r="D189" s="196">
        <v>0.95</v>
      </c>
      <c r="E189" s="194" t="str">
        <f t="shared" si="2"/>
        <v>level I</v>
      </c>
    </row>
    <row r="190" spans="1:5" x14ac:dyDescent="0.15">
      <c r="A190" s="194">
        <v>2297</v>
      </c>
      <c r="B190" s="195" t="s">
        <v>823</v>
      </c>
      <c r="C190" s="195" t="s">
        <v>897</v>
      </c>
      <c r="D190" s="196">
        <v>0.95</v>
      </c>
      <c r="E190" s="194" t="str">
        <f t="shared" si="2"/>
        <v>level I</v>
      </c>
    </row>
    <row r="191" spans="1:5" x14ac:dyDescent="0.15">
      <c r="A191" s="194">
        <v>2298</v>
      </c>
      <c r="B191" s="195" t="s">
        <v>823</v>
      </c>
      <c r="C191" s="195" t="s">
        <v>898</v>
      </c>
      <c r="D191" s="196">
        <v>0.95</v>
      </c>
      <c r="E191" s="194" t="str">
        <f t="shared" si="2"/>
        <v>level I</v>
      </c>
    </row>
    <row r="192" spans="1:5" x14ac:dyDescent="0.15">
      <c r="A192" s="194">
        <v>2299</v>
      </c>
      <c r="B192" s="195" t="s">
        <v>823</v>
      </c>
      <c r="C192" s="195" t="s">
        <v>899</v>
      </c>
      <c r="D192" s="196">
        <v>0.95</v>
      </c>
      <c r="E192" s="194" t="str">
        <f t="shared" si="2"/>
        <v>level I</v>
      </c>
    </row>
    <row r="193" spans="1:5" x14ac:dyDescent="0.15">
      <c r="A193" s="194">
        <v>2311</v>
      </c>
      <c r="B193" s="195" t="s">
        <v>823</v>
      </c>
      <c r="C193" s="195" t="s">
        <v>900</v>
      </c>
      <c r="D193" s="196">
        <v>0.95</v>
      </c>
      <c r="E193" s="194" t="str">
        <f t="shared" si="2"/>
        <v>level I</v>
      </c>
    </row>
    <row r="194" spans="1:5" x14ac:dyDescent="0.15">
      <c r="A194" s="194">
        <v>2321</v>
      </c>
      <c r="B194" s="195" t="s">
        <v>823</v>
      </c>
      <c r="C194" s="195" t="s">
        <v>901</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823</v>
      </c>
      <c r="C195" s="195" t="s">
        <v>902</v>
      </c>
      <c r="D195" s="196">
        <v>0.95</v>
      </c>
      <c r="E195" s="194" t="str">
        <f t="shared" si="3"/>
        <v>level I</v>
      </c>
    </row>
    <row r="196" spans="1:5" x14ac:dyDescent="0.15">
      <c r="A196" s="194">
        <v>2323</v>
      </c>
      <c r="B196" s="195" t="s">
        <v>823</v>
      </c>
      <c r="C196" s="195" t="s">
        <v>903</v>
      </c>
      <c r="D196" s="196">
        <v>0.95</v>
      </c>
      <c r="E196" s="194" t="str">
        <f t="shared" si="3"/>
        <v>level I</v>
      </c>
    </row>
    <row r="197" spans="1:5" x14ac:dyDescent="0.15">
      <c r="A197" s="194">
        <v>2325</v>
      </c>
      <c r="B197" s="195" t="s">
        <v>823</v>
      </c>
      <c r="C197" s="195" t="s">
        <v>904</v>
      </c>
      <c r="D197" s="196">
        <v>0.95</v>
      </c>
      <c r="E197" s="194" t="str">
        <f t="shared" si="3"/>
        <v>level I</v>
      </c>
    </row>
    <row r="198" spans="1:5" x14ac:dyDescent="0.15">
      <c r="A198" s="194">
        <v>2326</v>
      </c>
      <c r="B198" s="195" t="s">
        <v>823</v>
      </c>
      <c r="C198" s="195" t="s">
        <v>905</v>
      </c>
      <c r="D198" s="196">
        <v>0.95</v>
      </c>
      <c r="E198" s="194" t="str">
        <f t="shared" si="3"/>
        <v>level I</v>
      </c>
    </row>
    <row r="199" spans="1:5" x14ac:dyDescent="0.15">
      <c r="A199" s="194">
        <v>2329</v>
      </c>
      <c r="B199" s="195" t="s">
        <v>823</v>
      </c>
      <c r="C199" s="195" t="s">
        <v>906</v>
      </c>
      <c r="D199" s="196">
        <v>0.95</v>
      </c>
      <c r="E199" s="194" t="str">
        <f t="shared" si="3"/>
        <v>level I</v>
      </c>
    </row>
    <row r="200" spans="1:5" x14ac:dyDescent="0.15">
      <c r="A200" s="194">
        <v>2331</v>
      </c>
      <c r="B200" s="195" t="s">
        <v>823</v>
      </c>
      <c r="C200" s="195" t="s">
        <v>907</v>
      </c>
      <c r="D200" s="196">
        <v>0.95</v>
      </c>
      <c r="E200" s="194" t="str">
        <f t="shared" si="3"/>
        <v>level I</v>
      </c>
    </row>
    <row r="201" spans="1:5" x14ac:dyDescent="0.15">
      <c r="A201" s="194">
        <v>2335</v>
      </c>
      <c r="B201" s="195" t="s">
        <v>823</v>
      </c>
      <c r="C201" s="195" t="s">
        <v>908</v>
      </c>
      <c r="D201" s="196">
        <v>0.95</v>
      </c>
      <c r="E201" s="194" t="str">
        <f t="shared" si="3"/>
        <v>level I</v>
      </c>
    </row>
    <row r="202" spans="1:5" x14ac:dyDescent="0.15">
      <c r="A202" s="194">
        <v>2337</v>
      </c>
      <c r="B202" s="195" t="s">
        <v>823</v>
      </c>
      <c r="C202" s="195" t="s">
        <v>909</v>
      </c>
      <c r="D202" s="196">
        <v>0.95</v>
      </c>
      <c r="E202" s="194" t="str">
        <f t="shared" si="3"/>
        <v>level I</v>
      </c>
    </row>
    <row r="203" spans="1:5" x14ac:dyDescent="0.15">
      <c r="A203" s="194">
        <v>2339</v>
      </c>
      <c r="B203" s="195" t="s">
        <v>823</v>
      </c>
      <c r="C203" s="195" t="s">
        <v>910</v>
      </c>
      <c r="D203" s="196">
        <v>0.95</v>
      </c>
      <c r="E203" s="194" t="str">
        <f t="shared" si="3"/>
        <v>level I</v>
      </c>
    </row>
    <row r="204" spans="1:5" x14ac:dyDescent="0.15">
      <c r="A204" s="194">
        <v>2341</v>
      </c>
      <c r="B204" s="195" t="s">
        <v>823</v>
      </c>
      <c r="C204" s="195" t="s">
        <v>911</v>
      </c>
      <c r="D204" s="196">
        <v>0.95</v>
      </c>
      <c r="E204" s="194" t="str">
        <f t="shared" si="3"/>
        <v>level I</v>
      </c>
    </row>
    <row r="205" spans="1:5" x14ac:dyDescent="0.15">
      <c r="A205" s="194">
        <v>2342</v>
      </c>
      <c r="B205" s="195" t="s">
        <v>823</v>
      </c>
      <c r="C205" s="195" t="s">
        <v>912</v>
      </c>
      <c r="D205" s="196">
        <v>0.95</v>
      </c>
      <c r="E205" s="194" t="str">
        <f t="shared" si="3"/>
        <v>level I</v>
      </c>
    </row>
    <row r="206" spans="1:5" x14ac:dyDescent="0.15">
      <c r="A206" s="194">
        <v>2353</v>
      </c>
      <c r="B206" s="195" t="s">
        <v>823</v>
      </c>
      <c r="C206" s="195" t="s">
        <v>913</v>
      </c>
      <c r="D206" s="196">
        <v>0.95</v>
      </c>
      <c r="E206" s="194" t="str">
        <f t="shared" si="3"/>
        <v>level I</v>
      </c>
    </row>
    <row r="207" spans="1:5" x14ac:dyDescent="0.15">
      <c r="A207" s="194">
        <v>2361</v>
      </c>
      <c r="B207" s="195" t="s">
        <v>823</v>
      </c>
      <c r="C207" s="195" t="s">
        <v>914</v>
      </c>
      <c r="D207" s="196">
        <v>0.95</v>
      </c>
      <c r="E207" s="194" t="str">
        <f t="shared" si="3"/>
        <v>level I</v>
      </c>
    </row>
    <row r="208" spans="1:5" x14ac:dyDescent="0.15">
      <c r="A208" s="194">
        <v>2369</v>
      </c>
      <c r="B208" s="195" t="s">
        <v>823</v>
      </c>
      <c r="C208" s="195" t="s">
        <v>915</v>
      </c>
      <c r="D208" s="196">
        <v>0.95</v>
      </c>
      <c r="E208" s="194" t="str">
        <f t="shared" si="3"/>
        <v>level I</v>
      </c>
    </row>
    <row r="209" spans="1:5" x14ac:dyDescent="0.15">
      <c r="A209" s="194">
        <v>2371</v>
      </c>
      <c r="B209" s="195" t="s">
        <v>823</v>
      </c>
      <c r="C209" s="195" t="s">
        <v>916</v>
      </c>
      <c r="D209" s="196">
        <v>0.95</v>
      </c>
      <c r="E209" s="194" t="str">
        <f t="shared" si="3"/>
        <v>level I</v>
      </c>
    </row>
    <row r="210" spans="1:5" x14ac:dyDescent="0.15">
      <c r="A210" s="194">
        <v>2381</v>
      </c>
      <c r="B210" s="195" t="s">
        <v>823</v>
      </c>
      <c r="C210" s="195" t="s">
        <v>917</v>
      </c>
      <c r="D210" s="196">
        <v>0.95</v>
      </c>
      <c r="E210" s="194" t="str">
        <f t="shared" si="3"/>
        <v>level I</v>
      </c>
    </row>
    <row r="211" spans="1:5" x14ac:dyDescent="0.15">
      <c r="A211" s="194">
        <v>2384</v>
      </c>
      <c r="B211" s="195" t="s">
        <v>823</v>
      </c>
      <c r="C211" s="195" t="s">
        <v>918</v>
      </c>
      <c r="D211" s="196">
        <v>0.95</v>
      </c>
      <c r="E211" s="194" t="str">
        <f t="shared" si="3"/>
        <v>level I</v>
      </c>
    </row>
    <row r="212" spans="1:5" x14ac:dyDescent="0.15">
      <c r="A212" s="194">
        <v>2385</v>
      </c>
      <c r="B212" s="195" t="s">
        <v>823</v>
      </c>
      <c r="C212" s="195" t="s">
        <v>919</v>
      </c>
      <c r="D212" s="196">
        <v>0.95</v>
      </c>
      <c r="E212" s="194" t="str">
        <f t="shared" si="3"/>
        <v>level I</v>
      </c>
    </row>
    <row r="213" spans="1:5" x14ac:dyDescent="0.15">
      <c r="A213" s="194">
        <v>2386</v>
      </c>
      <c r="B213" s="195" t="s">
        <v>823</v>
      </c>
      <c r="C213" s="195" t="s">
        <v>920</v>
      </c>
      <c r="D213" s="196">
        <v>0.95</v>
      </c>
      <c r="E213" s="194" t="str">
        <f t="shared" si="3"/>
        <v>level I</v>
      </c>
    </row>
    <row r="214" spans="1:5" x14ac:dyDescent="0.15">
      <c r="A214" s="194">
        <v>2387</v>
      </c>
      <c r="B214" s="195" t="s">
        <v>823</v>
      </c>
      <c r="C214" s="195" t="s">
        <v>921</v>
      </c>
      <c r="D214" s="196">
        <v>0.95</v>
      </c>
      <c r="E214" s="194" t="str">
        <f t="shared" si="3"/>
        <v>level I</v>
      </c>
    </row>
    <row r="215" spans="1:5" x14ac:dyDescent="0.15">
      <c r="A215" s="194">
        <v>2389</v>
      </c>
      <c r="B215" s="195" t="s">
        <v>823</v>
      </c>
      <c r="C215" s="195" t="s">
        <v>922</v>
      </c>
      <c r="D215" s="196">
        <v>0.95</v>
      </c>
      <c r="E215" s="194" t="str">
        <f t="shared" si="3"/>
        <v>level I</v>
      </c>
    </row>
    <row r="216" spans="1:5" x14ac:dyDescent="0.15">
      <c r="A216" s="194">
        <v>2391</v>
      </c>
      <c r="B216" s="195" t="s">
        <v>823</v>
      </c>
      <c r="C216" s="195" t="s">
        <v>923</v>
      </c>
      <c r="D216" s="196">
        <v>0.95</v>
      </c>
      <c r="E216" s="194" t="str">
        <f t="shared" si="3"/>
        <v>level I</v>
      </c>
    </row>
    <row r="217" spans="1:5" x14ac:dyDescent="0.15">
      <c r="A217" s="194">
        <v>2392</v>
      </c>
      <c r="B217" s="195" t="s">
        <v>823</v>
      </c>
      <c r="C217" s="195" t="s">
        <v>924</v>
      </c>
      <c r="D217" s="196">
        <v>0.95</v>
      </c>
      <c r="E217" s="194" t="str">
        <f t="shared" si="3"/>
        <v>level I</v>
      </c>
    </row>
    <row r="218" spans="1:5" x14ac:dyDescent="0.15">
      <c r="A218" s="194">
        <v>2393</v>
      </c>
      <c r="B218" s="195" t="s">
        <v>823</v>
      </c>
      <c r="C218" s="195" t="s">
        <v>925</v>
      </c>
      <c r="D218" s="196">
        <v>0.95</v>
      </c>
      <c r="E218" s="194" t="str">
        <f t="shared" si="3"/>
        <v>level I</v>
      </c>
    </row>
    <row r="219" spans="1:5" x14ac:dyDescent="0.15">
      <c r="A219" s="194">
        <v>2394</v>
      </c>
      <c r="B219" s="195" t="s">
        <v>823</v>
      </c>
      <c r="C219" s="195" t="s">
        <v>926</v>
      </c>
      <c r="D219" s="196">
        <v>0.95</v>
      </c>
      <c r="E219" s="194" t="str">
        <f t="shared" si="3"/>
        <v>level I</v>
      </c>
    </row>
    <row r="220" spans="1:5" x14ac:dyDescent="0.15">
      <c r="A220" s="194">
        <v>2395</v>
      </c>
      <c r="B220" s="195" t="s">
        <v>823</v>
      </c>
      <c r="C220" s="195" t="s">
        <v>927</v>
      </c>
      <c r="D220" s="196">
        <v>0.95</v>
      </c>
      <c r="E220" s="194" t="str">
        <f t="shared" si="3"/>
        <v>level I</v>
      </c>
    </row>
    <row r="221" spans="1:5" x14ac:dyDescent="0.15">
      <c r="A221" s="194">
        <v>2396</v>
      </c>
      <c r="B221" s="195" t="s">
        <v>823</v>
      </c>
      <c r="C221" s="195" t="s">
        <v>928</v>
      </c>
      <c r="D221" s="196">
        <v>0.95</v>
      </c>
      <c r="E221" s="194" t="str">
        <f t="shared" si="3"/>
        <v>level I</v>
      </c>
    </row>
    <row r="222" spans="1:5" x14ac:dyDescent="0.15">
      <c r="A222" s="194">
        <v>2397</v>
      </c>
      <c r="B222" s="195" t="s">
        <v>823</v>
      </c>
      <c r="C222" s="195" t="s">
        <v>929</v>
      </c>
      <c r="D222" s="196">
        <v>0.95</v>
      </c>
      <c r="E222" s="194" t="str">
        <f t="shared" si="3"/>
        <v>level I</v>
      </c>
    </row>
    <row r="223" spans="1:5" x14ac:dyDescent="0.15">
      <c r="A223" s="194">
        <v>2399</v>
      </c>
      <c r="B223" s="195" t="s">
        <v>823</v>
      </c>
      <c r="C223" s="195" t="s">
        <v>930</v>
      </c>
      <c r="D223" s="196">
        <v>0.95</v>
      </c>
      <c r="E223" s="194" t="str">
        <f t="shared" si="3"/>
        <v>level I</v>
      </c>
    </row>
    <row r="224" spans="1:5" x14ac:dyDescent="0.15">
      <c r="A224" s="194">
        <v>2411</v>
      </c>
      <c r="B224" s="195" t="s">
        <v>823</v>
      </c>
      <c r="C224" s="195" t="s">
        <v>931</v>
      </c>
      <c r="D224" s="196">
        <v>1.05</v>
      </c>
      <c r="E224" s="194" t="str">
        <f t="shared" si="3"/>
        <v>level III</v>
      </c>
    </row>
    <row r="225" spans="1:5" x14ac:dyDescent="0.15">
      <c r="A225" s="194">
        <v>2421</v>
      </c>
      <c r="B225" s="195" t="s">
        <v>823</v>
      </c>
      <c r="C225" s="195" t="s">
        <v>932</v>
      </c>
      <c r="D225" s="196">
        <v>1.05</v>
      </c>
      <c r="E225" s="194" t="str">
        <f t="shared" si="3"/>
        <v>level III</v>
      </c>
    </row>
    <row r="226" spans="1:5" x14ac:dyDescent="0.15">
      <c r="A226" s="194">
        <v>2426</v>
      </c>
      <c r="B226" s="195" t="s">
        <v>823</v>
      </c>
      <c r="C226" s="195" t="s">
        <v>933</v>
      </c>
      <c r="D226" s="196">
        <v>1.05</v>
      </c>
      <c r="E226" s="194" t="str">
        <f t="shared" si="3"/>
        <v>level III</v>
      </c>
    </row>
    <row r="227" spans="1:5" x14ac:dyDescent="0.15">
      <c r="A227" s="194">
        <v>2429</v>
      </c>
      <c r="B227" s="195" t="s">
        <v>823</v>
      </c>
      <c r="C227" s="195" t="s">
        <v>934</v>
      </c>
      <c r="D227" s="196">
        <v>1.05</v>
      </c>
      <c r="E227" s="194" t="str">
        <f t="shared" si="3"/>
        <v>level III</v>
      </c>
    </row>
    <row r="228" spans="1:5" x14ac:dyDescent="0.15">
      <c r="A228" s="194">
        <v>2431</v>
      </c>
      <c r="B228" s="195" t="s">
        <v>823</v>
      </c>
      <c r="C228" s="195" t="s">
        <v>935</v>
      </c>
      <c r="D228" s="196">
        <v>1.05</v>
      </c>
      <c r="E228" s="194" t="str">
        <f t="shared" si="3"/>
        <v>level III</v>
      </c>
    </row>
    <row r="229" spans="1:5" x14ac:dyDescent="0.15">
      <c r="A229" s="194">
        <v>2434</v>
      </c>
      <c r="B229" s="195" t="s">
        <v>823</v>
      </c>
      <c r="C229" s="195" t="s">
        <v>936</v>
      </c>
      <c r="D229" s="196">
        <v>1.05</v>
      </c>
      <c r="E229" s="194" t="str">
        <f t="shared" si="3"/>
        <v>level III</v>
      </c>
    </row>
    <row r="230" spans="1:5" x14ac:dyDescent="0.15">
      <c r="A230" s="194">
        <v>2435</v>
      </c>
      <c r="B230" s="195" t="s">
        <v>823</v>
      </c>
      <c r="C230" s="195" t="s">
        <v>937</v>
      </c>
      <c r="D230" s="196">
        <v>1.05</v>
      </c>
      <c r="E230" s="194" t="str">
        <f t="shared" si="3"/>
        <v>level III</v>
      </c>
    </row>
    <row r="231" spans="1:5" x14ac:dyDescent="0.15">
      <c r="A231" s="194">
        <v>2436</v>
      </c>
      <c r="B231" s="195" t="s">
        <v>823</v>
      </c>
      <c r="C231" s="195" t="s">
        <v>938</v>
      </c>
      <c r="D231" s="196">
        <v>1.05</v>
      </c>
      <c r="E231" s="194" t="str">
        <f t="shared" si="3"/>
        <v>level III</v>
      </c>
    </row>
    <row r="232" spans="1:5" x14ac:dyDescent="0.15">
      <c r="A232" s="194">
        <v>2439</v>
      </c>
      <c r="B232" s="195" t="s">
        <v>823</v>
      </c>
      <c r="C232" s="195" t="s">
        <v>939</v>
      </c>
      <c r="D232" s="196">
        <v>1.05</v>
      </c>
      <c r="E232" s="194" t="str">
        <f t="shared" si="3"/>
        <v>level III</v>
      </c>
    </row>
    <row r="233" spans="1:5" x14ac:dyDescent="0.15">
      <c r="A233" s="194">
        <v>2441</v>
      </c>
      <c r="B233" s="195" t="s">
        <v>823</v>
      </c>
      <c r="C233" s="195" t="s">
        <v>940</v>
      </c>
      <c r="D233" s="196">
        <v>1.05</v>
      </c>
      <c r="E233" s="194" t="str">
        <f t="shared" si="3"/>
        <v>level III</v>
      </c>
    </row>
    <row r="234" spans="1:5" x14ac:dyDescent="0.15">
      <c r="A234" s="194">
        <v>2448</v>
      </c>
      <c r="B234" s="195" t="s">
        <v>823</v>
      </c>
      <c r="C234" s="195" t="s">
        <v>941</v>
      </c>
      <c r="D234" s="196">
        <v>1.05</v>
      </c>
      <c r="E234" s="194" t="str">
        <f t="shared" si="3"/>
        <v>level III</v>
      </c>
    </row>
    <row r="235" spans="1:5" x14ac:dyDescent="0.15">
      <c r="A235" s="194">
        <v>2449</v>
      </c>
      <c r="B235" s="195" t="s">
        <v>823</v>
      </c>
      <c r="C235" s="195" t="s">
        <v>942</v>
      </c>
      <c r="D235" s="196">
        <v>1.05</v>
      </c>
      <c r="E235" s="194" t="str">
        <f t="shared" si="3"/>
        <v>level III</v>
      </c>
    </row>
    <row r="236" spans="1:5" x14ac:dyDescent="0.15">
      <c r="A236" s="194">
        <v>2451</v>
      </c>
      <c r="B236" s="195" t="s">
        <v>823</v>
      </c>
      <c r="C236" s="195" t="s">
        <v>943</v>
      </c>
      <c r="D236" s="196">
        <v>1.05</v>
      </c>
      <c r="E236" s="194" t="str">
        <f t="shared" si="3"/>
        <v>level III</v>
      </c>
    </row>
    <row r="237" spans="1:5" x14ac:dyDescent="0.15">
      <c r="A237" s="194">
        <v>2452</v>
      </c>
      <c r="B237" s="195" t="s">
        <v>823</v>
      </c>
      <c r="C237" s="195" t="s">
        <v>944</v>
      </c>
      <c r="D237" s="196">
        <v>1.05</v>
      </c>
      <c r="E237" s="194" t="str">
        <f t="shared" si="3"/>
        <v>level III</v>
      </c>
    </row>
    <row r="238" spans="1:5" x14ac:dyDescent="0.15">
      <c r="A238" s="194">
        <v>2491</v>
      </c>
      <c r="B238" s="195" t="s">
        <v>823</v>
      </c>
      <c r="C238" s="195" t="s">
        <v>945</v>
      </c>
      <c r="D238" s="196">
        <v>1.05</v>
      </c>
      <c r="E238" s="194" t="str">
        <f t="shared" si="3"/>
        <v>level III</v>
      </c>
    </row>
    <row r="239" spans="1:5" x14ac:dyDescent="0.15">
      <c r="A239" s="194">
        <v>2493</v>
      </c>
      <c r="B239" s="195" t="s">
        <v>823</v>
      </c>
      <c r="C239" s="195" t="s">
        <v>946</v>
      </c>
      <c r="D239" s="196">
        <v>1.05</v>
      </c>
      <c r="E239" s="194" t="str">
        <f t="shared" si="3"/>
        <v>level III</v>
      </c>
    </row>
    <row r="240" spans="1:5" x14ac:dyDescent="0.15">
      <c r="A240" s="194">
        <v>2499</v>
      </c>
      <c r="B240" s="195" t="s">
        <v>823</v>
      </c>
      <c r="C240" s="195" t="s">
        <v>947</v>
      </c>
      <c r="D240" s="196">
        <v>1.05</v>
      </c>
      <c r="E240" s="194" t="str">
        <f t="shared" si="3"/>
        <v>level III</v>
      </c>
    </row>
    <row r="241" spans="1:5" x14ac:dyDescent="0.15">
      <c r="A241" s="194">
        <v>2511</v>
      </c>
      <c r="B241" s="195" t="s">
        <v>823</v>
      </c>
      <c r="C241" s="195" t="s">
        <v>948</v>
      </c>
      <c r="D241" s="196">
        <v>0.95</v>
      </c>
      <c r="E241" s="194" t="str">
        <f t="shared" si="3"/>
        <v>level I</v>
      </c>
    </row>
    <row r="242" spans="1:5" x14ac:dyDescent="0.15">
      <c r="A242" s="194">
        <v>2512</v>
      </c>
      <c r="B242" s="195" t="s">
        <v>823</v>
      </c>
      <c r="C242" s="195" t="s">
        <v>949</v>
      </c>
      <c r="D242" s="196">
        <v>0.95</v>
      </c>
      <c r="E242" s="194" t="str">
        <f t="shared" si="3"/>
        <v>level I</v>
      </c>
    </row>
    <row r="243" spans="1:5" x14ac:dyDescent="0.15">
      <c r="A243" s="194">
        <v>2514</v>
      </c>
      <c r="B243" s="195" t="s">
        <v>823</v>
      </c>
      <c r="C243" s="195" t="s">
        <v>950</v>
      </c>
      <c r="D243" s="196">
        <v>0.95</v>
      </c>
      <c r="E243" s="194" t="str">
        <f t="shared" si="3"/>
        <v>level I</v>
      </c>
    </row>
    <row r="244" spans="1:5" x14ac:dyDescent="0.15">
      <c r="A244" s="194">
        <v>2515</v>
      </c>
      <c r="B244" s="195" t="s">
        <v>823</v>
      </c>
      <c r="C244" s="195" t="s">
        <v>951</v>
      </c>
      <c r="D244" s="196">
        <v>0.95</v>
      </c>
      <c r="E244" s="194" t="str">
        <f t="shared" si="3"/>
        <v>level I</v>
      </c>
    </row>
    <row r="245" spans="1:5" x14ac:dyDescent="0.15">
      <c r="A245" s="194">
        <v>2517</v>
      </c>
      <c r="B245" s="195" t="s">
        <v>823</v>
      </c>
      <c r="C245" s="195" t="s">
        <v>952</v>
      </c>
      <c r="D245" s="196">
        <v>0.95</v>
      </c>
      <c r="E245" s="194" t="str">
        <f t="shared" si="3"/>
        <v>level I</v>
      </c>
    </row>
    <row r="246" spans="1:5" x14ac:dyDescent="0.15">
      <c r="A246" s="194">
        <v>2519</v>
      </c>
      <c r="B246" s="195" t="s">
        <v>823</v>
      </c>
      <c r="C246" s="195" t="s">
        <v>953</v>
      </c>
      <c r="D246" s="196">
        <v>0.95</v>
      </c>
      <c r="E246" s="194" t="str">
        <f t="shared" si="3"/>
        <v>level I</v>
      </c>
    </row>
    <row r="247" spans="1:5" x14ac:dyDescent="0.15">
      <c r="A247" s="194">
        <v>2521</v>
      </c>
      <c r="B247" s="195" t="s">
        <v>823</v>
      </c>
      <c r="C247" s="195" t="s">
        <v>954</v>
      </c>
      <c r="D247" s="196">
        <v>0.95</v>
      </c>
      <c r="E247" s="194" t="str">
        <f t="shared" si="3"/>
        <v>level I</v>
      </c>
    </row>
    <row r="248" spans="1:5" x14ac:dyDescent="0.15">
      <c r="A248" s="194">
        <v>2522</v>
      </c>
      <c r="B248" s="195" t="s">
        <v>823</v>
      </c>
      <c r="C248" s="195" t="s">
        <v>955</v>
      </c>
      <c r="D248" s="196">
        <v>0.95</v>
      </c>
      <c r="E248" s="194" t="str">
        <f t="shared" si="3"/>
        <v>level I</v>
      </c>
    </row>
    <row r="249" spans="1:5" x14ac:dyDescent="0.15">
      <c r="A249" s="194">
        <v>2531</v>
      </c>
      <c r="B249" s="195" t="s">
        <v>823</v>
      </c>
      <c r="C249" s="195" t="s">
        <v>956</v>
      </c>
      <c r="D249" s="196">
        <v>0.95</v>
      </c>
      <c r="E249" s="194" t="str">
        <f t="shared" si="3"/>
        <v>level I</v>
      </c>
    </row>
    <row r="250" spans="1:5" x14ac:dyDescent="0.15">
      <c r="A250" s="194">
        <v>2541</v>
      </c>
      <c r="B250" s="195" t="s">
        <v>823</v>
      </c>
      <c r="C250" s="195" t="s">
        <v>957</v>
      </c>
      <c r="D250" s="196">
        <v>0.95</v>
      </c>
      <c r="E250" s="194" t="str">
        <f t="shared" si="3"/>
        <v>level I</v>
      </c>
    </row>
    <row r="251" spans="1:5" x14ac:dyDescent="0.15">
      <c r="A251" s="194">
        <v>2542</v>
      </c>
      <c r="B251" s="195" t="s">
        <v>823</v>
      </c>
      <c r="C251" s="195" t="s">
        <v>958</v>
      </c>
      <c r="D251" s="196">
        <v>0.95</v>
      </c>
      <c r="E251" s="194" t="str">
        <f t="shared" si="3"/>
        <v>level I</v>
      </c>
    </row>
    <row r="252" spans="1:5" x14ac:dyDescent="0.15">
      <c r="A252" s="194">
        <v>2591</v>
      </c>
      <c r="B252" s="195" t="s">
        <v>823</v>
      </c>
      <c r="C252" s="195" t="s">
        <v>959</v>
      </c>
      <c r="D252" s="196">
        <v>0.95</v>
      </c>
      <c r="E252" s="194" t="str">
        <f t="shared" si="3"/>
        <v>level I</v>
      </c>
    </row>
    <row r="253" spans="1:5" x14ac:dyDescent="0.15">
      <c r="A253" s="194">
        <v>2599</v>
      </c>
      <c r="B253" s="195" t="s">
        <v>823</v>
      </c>
      <c r="C253" s="195" t="s">
        <v>960</v>
      </c>
      <c r="D253" s="196">
        <v>0.95</v>
      </c>
      <c r="E253" s="194" t="str">
        <f t="shared" si="3"/>
        <v>level I</v>
      </c>
    </row>
    <row r="254" spans="1:5" x14ac:dyDescent="0.15">
      <c r="A254" s="194">
        <v>2611</v>
      </c>
      <c r="B254" s="195" t="s">
        <v>823</v>
      </c>
      <c r="C254" s="195" t="s">
        <v>961</v>
      </c>
      <c r="D254" s="196">
        <v>1.05</v>
      </c>
      <c r="E254" s="194" t="str">
        <f t="shared" si="3"/>
        <v>level III</v>
      </c>
    </row>
    <row r="255" spans="1:5" x14ac:dyDescent="0.15">
      <c r="A255" s="194">
        <v>2621</v>
      </c>
      <c r="B255" s="195" t="s">
        <v>823</v>
      </c>
      <c r="C255" s="195" t="s">
        <v>962</v>
      </c>
      <c r="D255" s="196">
        <v>1.05</v>
      </c>
      <c r="E255" s="194" t="str">
        <f t="shared" si="3"/>
        <v>level III</v>
      </c>
    </row>
    <row r="256" spans="1:5" x14ac:dyDescent="0.15">
      <c r="A256" s="194">
        <v>2631</v>
      </c>
      <c r="B256" s="195" t="s">
        <v>823</v>
      </c>
      <c r="C256" s="195" t="s">
        <v>963</v>
      </c>
      <c r="D256" s="196">
        <v>1.05</v>
      </c>
      <c r="E256" s="194" t="str">
        <f t="shared" si="3"/>
        <v>level III</v>
      </c>
    </row>
    <row r="257" spans="1:5" x14ac:dyDescent="0.15">
      <c r="A257" s="194">
        <v>2652</v>
      </c>
      <c r="B257" s="195" t="s">
        <v>823</v>
      </c>
      <c r="C257" s="195" t="s">
        <v>964</v>
      </c>
      <c r="D257" s="196">
        <v>1.05</v>
      </c>
      <c r="E257" s="194" t="str">
        <f t="shared" si="3"/>
        <v>level III</v>
      </c>
    </row>
    <row r="258" spans="1:5" x14ac:dyDescent="0.15">
      <c r="A258" s="194">
        <v>2653</v>
      </c>
      <c r="B258" s="195" t="s">
        <v>823</v>
      </c>
      <c r="C258" s="195" t="s">
        <v>965</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823</v>
      </c>
      <c r="C259" s="195" t="s">
        <v>966</v>
      </c>
      <c r="D259" s="196">
        <v>1.05</v>
      </c>
      <c r="E259" s="194" t="str">
        <f t="shared" si="4"/>
        <v>level III</v>
      </c>
    </row>
    <row r="260" spans="1:5" x14ac:dyDescent="0.15">
      <c r="A260" s="194">
        <v>2656</v>
      </c>
      <c r="B260" s="195" t="s">
        <v>823</v>
      </c>
      <c r="C260" s="195" t="s">
        <v>967</v>
      </c>
      <c r="D260" s="196">
        <v>1.05</v>
      </c>
      <c r="E260" s="194" t="str">
        <f t="shared" si="4"/>
        <v>level III</v>
      </c>
    </row>
    <row r="261" spans="1:5" x14ac:dyDescent="0.15">
      <c r="A261" s="194">
        <v>2657</v>
      </c>
      <c r="B261" s="195" t="s">
        <v>823</v>
      </c>
      <c r="C261" s="195" t="s">
        <v>968</v>
      </c>
      <c r="D261" s="196">
        <v>1.05</v>
      </c>
      <c r="E261" s="194" t="str">
        <f t="shared" si="4"/>
        <v>level III</v>
      </c>
    </row>
    <row r="262" spans="1:5" x14ac:dyDescent="0.15">
      <c r="A262" s="194">
        <v>2671</v>
      </c>
      <c r="B262" s="195" t="s">
        <v>823</v>
      </c>
      <c r="C262" s="195" t="s">
        <v>969</v>
      </c>
      <c r="D262" s="196">
        <v>1.05</v>
      </c>
      <c r="E262" s="194" t="str">
        <f t="shared" si="4"/>
        <v>level III</v>
      </c>
    </row>
    <row r="263" spans="1:5" x14ac:dyDescent="0.15">
      <c r="A263" s="194">
        <v>2672</v>
      </c>
      <c r="B263" s="195" t="s">
        <v>823</v>
      </c>
      <c r="C263" s="195" t="s">
        <v>970</v>
      </c>
      <c r="D263" s="196">
        <v>1.05</v>
      </c>
      <c r="E263" s="194" t="str">
        <f t="shared" si="4"/>
        <v>level III</v>
      </c>
    </row>
    <row r="264" spans="1:5" x14ac:dyDescent="0.15">
      <c r="A264" s="194">
        <v>2673</v>
      </c>
      <c r="B264" s="195" t="s">
        <v>823</v>
      </c>
      <c r="C264" s="195" t="s">
        <v>971</v>
      </c>
      <c r="D264" s="196">
        <v>1.05</v>
      </c>
      <c r="E264" s="194" t="str">
        <f t="shared" si="4"/>
        <v>level III</v>
      </c>
    </row>
    <row r="265" spans="1:5" x14ac:dyDescent="0.15">
      <c r="A265" s="194">
        <v>2674</v>
      </c>
      <c r="B265" s="195" t="s">
        <v>823</v>
      </c>
      <c r="C265" s="195" t="s">
        <v>972</v>
      </c>
      <c r="D265" s="196">
        <v>1.05</v>
      </c>
      <c r="E265" s="194" t="str">
        <f t="shared" si="4"/>
        <v>level III</v>
      </c>
    </row>
    <row r="266" spans="1:5" x14ac:dyDescent="0.15">
      <c r="A266" s="194">
        <v>2675</v>
      </c>
      <c r="B266" s="195" t="s">
        <v>823</v>
      </c>
      <c r="C266" s="195" t="s">
        <v>973</v>
      </c>
      <c r="D266" s="196">
        <v>1.05</v>
      </c>
      <c r="E266" s="194" t="str">
        <f t="shared" si="4"/>
        <v>level III</v>
      </c>
    </row>
    <row r="267" spans="1:5" x14ac:dyDescent="0.15">
      <c r="A267" s="194">
        <v>2676</v>
      </c>
      <c r="B267" s="195" t="s">
        <v>823</v>
      </c>
      <c r="C267" s="195" t="s">
        <v>974</v>
      </c>
      <c r="D267" s="196">
        <v>1.05</v>
      </c>
      <c r="E267" s="194" t="str">
        <f t="shared" si="4"/>
        <v>level III</v>
      </c>
    </row>
    <row r="268" spans="1:5" x14ac:dyDescent="0.15">
      <c r="A268" s="194">
        <v>2677</v>
      </c>
      <c r="B268" s="195" t="s">
        <v>823</v>
      </c>
      <c r="C268" s="195" t="s">
        <v>975</v>
      </c>
      <c r="D268" s="196">
        <v>1.05</v>
      </c>
      <c r="E268" s="194" t="str">
        <f t="shared" si="4"/>
        <v>level III</v>
      </c>
    </row>
    <row r="269" spans="1:5" x14ac:dyDescent="0.15">
      <c r="A269" s="194">
        <v>2678</v>
      </c>
      <c r="B269" s="195" t="s">
        <v>823</v>
      </c>
      <c r="C269" s="195" t="s">
        <v>976</v>
      </c>
      <c r="D269" s="196">
        <v>1.05</v>
      </c>
      <c r="E269" s="194" t="str">
        <f t="shared" si="4"/>
        <v>level III</v>
      </c>
    </row>
    <row r="270" spans="1:5" x14ac:dyDescent="0.15">
      <c r="A270" s="194">
        <v>2679</v>
      </c>
      <c r="B270" s="195" t="s">
        <v>823</v>
      </c>
      <c r="C270" s="195" t="s">
        <v>977</v>
      </c>
      <c r="D270" s="196">
        <v>1.05</v>
      </c>
      <c r="E270" s="194" t="str">
        <f t="shared" si="4"/>
        <v>level III</v>
      </c>
    </row>
    <row r="271" spans="1:5" x14ac:dyDescent="0.15">
      <c r="A271" s="194">
        <v>2711</v>
      </c>
      <c r="B271" s="195" t="s">
        <v>823</v>
      </c>
      <c r="C271" s="195" t="s">
        <v>978</v>
      </c>
      <c r="D271" s="196">
        <v>1.1499999999999999</v>
      </c>
      <c r="E271" s="194" t="str">
        <f t="shared" si="4"/>
        <v>level V</v>
      </c>
    </row>
    <row r="272" spans="1:5" x14ac:dyDescent="0.15">
      <c r="A272" s="194">
        <v>2721</v>
      </c>
      <c r="B272" s="195" t="s">
        <v>823</v>
      </c>
      <c r="C272" s="195" t="s">
        <v>979</v>
      </c>
      <c r="D272" s="196">
        <v>1.1499999999999999</v>
      </c>
      <c r="E272" s="194" t="str">
        <f t="shared" si="4"/>
        <v>level V</v>
      </c>
    </row>
    <row r="273" spans="1:5" x14ac:dyDescent="0.15">
      <c r="A273" s="194">
        <v>2731</v>
      </c>
      <c r="B273" s="195" t="s">
        <v>823</v>
      </c>
      <c r="C273" s="195" t="s">
        <v>980</v>
      </c>
      <c r="D273" s="196">
        <v>1.1499999999999999</v>
      </c>
      <c r="E273" s="194" t="str">
        <f t="shared" si="4"/>
        <v>level V</v>
      </c>
    </row>
    <row r="274" spans="1:5" x14ac:dyDescent="0.15">
      <c r="A274" s="194">
        <v>2732</v>
      </c>
      <c r="B274" s="195" t="s">
        <v>823</v>
      </c>
      <c r="C274" s="195" t="s">
        <v>981</v>
      </c>
      <c r="D274" s="196">
        <v>1.1499999999999999</v>
      </c>
      <c r="E274" s="194" t="str">
        <f t="shared" si="4"/>
        <v>level V</v>
      </c>
    </row>
    <row r="275" spans="1:5" x14ac:dyDescent="0.15">
      <c r="A275" s="194">
        <v>2741</v>
      </c>
      <c r="B275" s="195" t="s">
        <v>823</v>
      </c>
      <c r="C275" s="195" t="s">
        <v>982</v>
      </c>
      <c r="D275" s="196">
        <v>1.1499999999999999</v>
      </c>
      <c r="E275" s="194" t="str">
        <f t="shared" si="4"/>
        <v>level V</v>
      </c>
    </row>
    <row r="276" spans="1:5" x14ac:dyDescent="0.15">
      <c r="A276" s="194">
        <v>2752</v>
      </c>
      <c r="B276" s="195" t="s">
        <v>823</v>
      </c>
      <c r="C276" s="195" t="s">
        <v>983</v>
      </c>
      <c r="D276" s="196">
        <v>1.1499999999999999</v>
      </c>
      <c r="E276" s="194" t="str">
        <f t="shared" si="4"/>
        <v>level V</v>
      </c>
    </row>
    <row r="277" spans="1:5" x14ac:dyDescent="0.15">
      <c r="A277" s="194">
        <v>2754</v>
      </c>
      <c r="B277" s="195" t="s">
        <v>823</v>
      </c>
      <c r="C277" s="195" t="s">
        <v>984</v>
      </c>
      <c r="D277" s="196">
        <v>1.1499999999999999</v>
      </c>
      <c r="E277" s="194" t="str">
        <f t="shared" si="4"/>
        <v>level V</v>
      </c>
    </row>
    <row r="278" spans="1:5" x14ac:dyDescent="0.15">
      <c r="A278" s="194">
        <v>2759</v>
      </c>
      <c r="B278" s="195" t="s">
        <v>823</v>
      </c>
      <c r="C278" s="195" t="s">
        <v>985</v>
      </c>
      <c r="D278" s="196">
        <v>1.1499999999999999</v>
      </c>
      <c r="E278" s="194" t="str">
        <f t="shared" si="4"/>
        <v>level V</v>
      </c>
    </row>
    <row r="279" spans="1:5" x14ac:dyDescent="0.15">
      <c r="A279" s="194">
        <v>2761</v>
      </c>
      <c r="B279" s="195" t="s">
        <v>823</v>
      </c>
      <c r="C279" s="195" t="s">
        <v>986</v>
      </c>
      <c r="D279" s="196">
        <v>1.1499999999999999</v>
      </c>
      <c r="E279" s="194" t="str">
        <f t="shared" si="4"/>
        <v>level V</v>
      </c>
    </row>
    <row r="280" spans="1:5" x14ac:dyDescent="0.15">
      <c r="A280" s="194">
        <v>2771</v>
      </c>
      <c r="B280" s="195" t="s">
        <v>823</v>
      </c>
      <c r="C280" s="195" t="s">
        <v>987</v>
      </c>
      <c r="D280" s="196">
        <v>1.1499999999999999</v>
      </c>
      <c r="E280" s="194" t="str">
        <f t="shared" si="4"/>
        <v>level V</v>
      </c>
    </row>
    <row r="281" spans="1:5" x14ac:dyDescent="0.15">
      <c r="A281" s="194">
        <v>2782</v>
      </c>
      <c r="B281" s="195" t="s">
        <v>823</v>
      </c>
      <c r="C281" s="195" t="s">
        <v>988</v>
      </c>
      <c r="D281" s="196">
        <v>1.1499999999999999</v>
      </c>
      <c r="E281" s="194" t="str">
        <f t="shared" si="4"/>
        <v>level V</v>
      </c>
    </row>
    <row r="282" spans="1:5" x14ac:dyDescent="0.15">
      <c r="A282" s="194">
        <v>2789</v>
      </c>
      <c r="B282" s="195" t="s">
        <v>823</v>
      </c>
      <c r="C282" s="195" t="s">
        <v>989</v>
      </c>
      <c r="D282" s="196">
        <v>1.1499999999999999</v>
      </c>
      <c r="E282" s="194" t="str">
        <f t="shared" si="4"/>
        <v>level V</v>
      </c>
    </row>
    <row r="283" spans="1:5" x14ac:dyDescent="0.15">
      <c r="A283" s="194">
        <v>2791</v>
      </c>
      <c r="B283" s="195" t="s">
        <v>823</v>
      </c>
      <c r="C283" s="195" t="s">
        <v>990</v>
      </c>
      <c r="D283" s="196">
        <v>1.1499999999999999</v>
      </c>
      <c r="E283" s="194" t="str">
        <f t="shared" si="4"/>
        <v>level V</v>
      </c>
    </row>
    <row r="284" spans="1:5" x14ac:dyDescent="0.15">
      <c r="A284" s="194">
        <v>2796</v>
      </c>
      <c r="B284" s="195" t="s">
        <v>823</v>
      </c>
      <c r="C284" s="195" t="s">
        <v>991</v>
      </c>
      <c r="D284" s="196">
        <v>1.1499999999999999</v>
      </c>
      <c r="E284" s="194" t="str">
        <f t="shared" si="4"/>
        <v>level V</v>
      </c>
    </row>
    <row r="285" spans="1:5" x14ac:dyDescent="0.15">
      <c r="A285" s="194">
        <v>2812</v>
      </c>
      <c r="B285" s="195" t="s">
        <v>823</v>
      </c>
      <c r="C285" s="195" t="s">
        <v>992</v>
      </c>
      <c r="D285" s="196">
        <v>0.95</v>
      </c>
      <c r="E285" s="194" t="str">
        <f t="shared" si="4"/>
        <v>level I</v>
      </c>
    </row>
    <row r="286" spans="1:5" x14ac:dyDescent="0.15">
      <c r="A286" s="194">
        <v>2813</v>
      </c>
      <c r="B286" s="195" t="s">
        <v>823</v>
      </c>
      <c r="C286" s="195" t="s">
        <v>993</v>
      </c>
      <c r="D286" s="196">
        <v>0.95</v>
      </c>
      <c r="E286" s="194" t="str">
        <f t="shared" si="4"/>
        <v>level I</v>
      </c>
    </row>
    <row r="287" spans="1:5" x14ac:dyDescent="0.15">
      <c r="A287" s="194">
        <v>2816</v>
      </c>
      <c r="B287" s="195" t="s">
        <v>823</v>
      </c>
      <c r="C287" s="195" t="s">
        <v>994</v>
      </c>
      <c r="D287" s="196">
        <v>0.95</v>
      </c>
      <c r="E287" s="194" t="str">
        <f t="shared" si="4"/>
        <v>level I</v>
      </c>
    </row>
    <row r="288" spans="1:5" x14ac:dyDescent="0.15">
      <c r="A288" s="194">
        <v>2819</v>
      </c>
      <c r="B288" s="195" t="s">
        <v>823</v>
      </c>
      <c r="C288" s="195" t="s">
        <v>995</v>
      </c>
      <c r="D288" s="196">
        <v>0.95</v>
      </c>
      <c r="E288" s="194" t="str">
        <f t="shared" si="4"/>
        <v>level I</v>
      </c>
    </row>
    <row r="289" spans="1:5" x14ac:dyDescent="0.15">
      <c r="A289" s="194">
        <v>2821</v>
      </c>
      <c r="B289" s="195" t="s">
        <v>823</v>
      </c>
      <c r="C289" s="195" t="s">
        <v>996</v>
      </c>
      <c r="D289" s="196">
        <v>0.95</v>
      </c>
      <c r="E289" s="194" t="str">
        <f t="shared" si="4"/>
        <v>level I</v>
      </c>
    </row>
    <row r="290" spans="1:5" x14ac:dyDescent="0.15">
      <c r="A290" s="194">
        <v>2822</v>
      </c>
      <c r="B290" s="195" t="s">
        <v>823</v>
      </c>
      <c r="C290" s="195" t="s">
        <v>997</v>
      </c>
      <c r="D290" s="196">
        <v>0.95</v>
      </c>
      <c r="E290" s="194" t="str">
        <f t="shared" si="4"/>
        <v>level I</v>
      </c>
    </row>
    <row r="291" spans="1:5" x14ac:dyDescent="0.15">
      <c r="A291" s="194">
        <v>2823</v>
      </c>
      <c r="B291" s="195" t="s">
        <v>823</v>
      </c>
      <c r="C291" s="195" t="s">
        <v>998</v>
      </c>
      <c r="D291" s="196">
        <v>0.95</v>
      </c>
      <c r="E291" s="194" t="str">
        <f t="shared" si="4"/>
        <v>level I</v>
      </c>
    </row>
    <row r="292" spans="1:5" x14ac:dyDescent="0.15">
      <c r="A292" s="194">
        <v>2824</v>
      </c>
      <c r="B292" s="195" t="s">
        <v>823</v>
      </c>
      <c r="C292" s="195" t="s">
        <v>999</v>
      </c>
      <c r="D292" s="196">
        <v>0.95</v>
      </c>
      <c r="E292" s="194" t="str">
        <f t="shared" si="4"/>
        <v>level I</v>
      </c>
    </row>
    <row r="293" spans="1:5" x14ac:dyDescent="0.15">
      <c r="A293" s="194">
        <v>2833</v>
      </c>
      <c r="B293" s="195" t="s">
        <v>823</v>
      </c>
      <c r="C293" s="195" t="s">
        <v>1000</v>
      </c>
      <c r="D293" s="196">
        <v>0.95</v>
      </c>
      <c r="E293" s="194" t="str">
        <f t="shared" si="4"/>
        <v>level I</v>
      </c>
    </row>
    <row r="294" spans="1:5" x14ac:dyDescent="0.15">
      <c r="A294" s="194">
        <v>2834</v>
      </c>
      <c r="B294" s="195" t="s">
        <v>823</v>
      </c>
      <c r="C294" s="195" t="s">
        <v>1001</v>
      </c>
      <c r="D294" s="196">
        <v>0.9</v>
      </c>
      <c r="E294" s="194" t="str">
        <f t="shared" si="4"/>
        <v>level 0</v>
      </c>
    </row>
    <row r="295" spans="1:5" x14ac:dyDescent="0.15">
      <c r="A295" s="194">
        <v>2835</v>
      </c>
      <c r="B295" s="195" t="s">
        <v>823</v>
      </c>
      <c r="C295" s="195" t="s">
        <v>1002</v>
      </c>
      <c r="D295" s="196">
        <v>0.95</v>
      </c>
      <c r="E295" s="194" t="str">
        <f t="shared" si="4"/>
        <v>level I</v>
      </c>
    </row>
    <row r="296" spans="1:5" x14ac:dyDescent="0.15">
      <c r="A296" s="194">
        <v>2836</v>
      </c>
      <c r="B296" s="195" t="s">
        <v>823</v>
      </c>
      <c r="C296" s="195" t="s">
        <v>1003</v>
      </c>
      <c r="D296" s="196">
        <v>0.95</v>
      </c>
      <c r="E296" s="194" t="str">
        <f t="shared" si="4"/>
        <v>level I</v>
      </c>
    </row>
    <row r="297" spans="1:5" x14ac:dyDescent="0.15">
      <c r="A297" s="194">
        <v>2841</v>
      </c>
      <c r="B297" s="195" t="s">
        <v>823</v>
      </c>
      <c r="C297" s="195" t="s">
        <v>1004</v>
      </c>
      <c r="D297" s="196">
        <v>0.95</v>
      </c>
      <c r="E297" s="194" t="str">
        <f t="shared" si="4"/>
        <v>level I</v>
      </c>
    </row>
    <row r="298" spans="1:5" x14ac:dyDescent="0.15">
      <c r="A298" s="194">
        <v>2842</v>
      </c>
      <c r="B298" s="195" t="s">
        <v>823</v>
      </c>
      <c r="C298" s="195" t="s">
        <v>1005</v>
      </c>
      <c r="D298" s="196">
        <v>0.95</v>
      </c>
      <c r="E298" s="194" t="str">
        <f t="shared" si="4"/>
        <v>level I</v>
      </c>
    </row>
    <row r="299" spans="1:5" x14ac:dyDescent="0.15">
      <c r="A299" s="194">
        <v>2843</v>
      </c>
      <c r="B299" s="195" t="s">
        <v>823</v>
      </c>
      <c r="C299" s="195" t="s">
        <v>1006</v>
      </c>
      <c r="D299" s="196">
        <v>0.95</v>
      </c>
      <c r="E299" s="194" t="str">
        <f t="shared" si="4"/>
        <v>level I</v>
      </c>
    </row>
    <row r="300" spans="1:5" x14ac:dyDescent="0.15">
      <c r="A300" s="194">
        <v>2844</v>
      </c>
      <c r="B300" s="195" t="s">
        <v>823</v>
      </c>
      <c r="C300" s="195" t="s">
        <v>1007</v>
      </c>
      <c r="D300" s="196">
        <v>0.95</v>
      </c>
      <c r="E300" s="194" t="str">
        <f t="shared" si="4"/>
        <v>level I</v>
      </c>
    </row>
    <row r="301" spans="1:5" x14ac:dyDescent="0.15">
      <c r="A301" s="194">
        <v>2851</v>
      </c>
      <c r="B301" s="195" t="s">
        <v>823</v>
      </c>
      <c r="C301" s="195" t="s">
        <v>1008</v>
      </c>
      <c r="D301" s="196">
        <v>0.95</v>
      </c>
      <c r="E301" s="194" t="str">
        <f t="shared" si="4"/>
        <v>level I</v>
      </c>
    </row>
    <row r="302" spans="1:5" x14ac:dyDescent="0.15">
      <c r="A302" s="194">
        <v>2861</v>
      </c>
      <c r="B302" s="195" t="s">
        <v>823</v>
      </c>
      <c r="C302" s="195" t="s">
        <v>1009</v>
      </c>
      <c r="D302" s="196">
        <v>0.95</v>
      </c>
      <c r="E302" s="194" t="str">
        <f t="shared" si="4"/>
        <v>level I</v>
      </c>
    </row>
    <row r="303" spans="1:5" x14ac:dyDescent="0.15">
      <c r="A303" s="194">
        <v>2865</v>
      </c>
      <c r="B303" s="195" t="s">
        <v>823</v>
      </c>
      <c r="C303" s="195" t="s">
        <v>1010</v>
      </c>
      <c r="D303" s="196">
        <v>0.95</v>
      </c>
      <c r="E303" s="194" t="str">
        <f t="shared" si="4"/>
        <v>level I</v>
      </c>
    </row>
    <row r="304" spans="1:5" x14ac:dyDescent="0.15">
      <c r="A304" s="194">
        <v>2869</v>
      </c>
      <c r="B304" s="195" t="s">
        <v>823</v>
      </c>
      <c r="C304" s="195" t="s">
        <v>1011</v>
      </c>
      <c r="D304" s="196">
        <v>0.95</v>
      </c>
      <c r="E304" s="194" t="str">
        <f t="shared" si="4"/>
        <v>level I</v>
      </c>
    </row>
    <row r="305" spans="1:5" x14ac:dyDescent="0.15">
      <c r="A305" s="194">
        <v>2873</v>
      </c>
      <c r="B305" s="195" t="s">
        <v>823</v>
      </c>
      <c r="C305" s="195" t="s">
        <v>1012</v>
      </c>
      <c r="D305" s="196">
        <v>0.95</v>
      </c>
      <c r="E305" s="194" t="str">
        <f t="shared" si="4"/>
        <v>level I</v>
      </c>
    </row>
    <row r="306" spans="1:5" x14ac:dyDescent="0.15">
      <c r="A306" s="194">
        <v>2874</v>
      </c>
      <c r="B306" s="195" t="s">
        <v>823</v>
      </c>
      <c r="C306" s="195" t="s">
        <v>1013</v>
      </c>
      <c r="D306" s="196">
        <v>0.95</v>
      </c>
      <c r="E306" s="194" t="str">
        <f t="shared" si="4"/>
        <v>level I</v>
      </c>
    </row>
    <row r="307" spans="1:5" x14ac:dyDescent="0.15">
      <c r="A307" s="194">
        <v>2875</v>
      </c>
      <c r="B307" s="195" t="s">
        <v>823</v>
      </c>
      <c r="C307" s="195" t="s">
        <v>1014</v>
      </c>
      <c r="D307" s="196">
        <v>0.95</v>
      </c>
      <c r="E307" s="194" t="str">
        <f t="shared" si="4"/>
        <v>level I</v>
      </c>
    </row>
    <row r="308" spans="1:5" x14ac:dyDescent="0.15">
      <c r="A308" s="194">
        <v>2879</v>
      </c>
      <c r="B308" s="195" t="s">
        <v>823</v>
      </c>
      <c r="C308" s="195" t="s">
        <v>1015</v>
      </c>
      <c r="D308" s="196">
        <v>0.95</v>
      </c>
      <c r="E308" s="194" t="str">
        <f t="shared" si="4"/>
        <v>level I</v>
      </c>
    </row>
    <row r="309" spans="1:5" x14ac:dyDescent="0.15">
      <c r="A309" s="194">
        <v>2891</v>
      </c>
      <c r="B309" s="195" t="s">
        <v>823</v>
      </c>
      <c r="C309" s="195" t="s">
        <v>1016</v>
      </c>
      <c r="D309" s="196">
        <v>0.95</v>
      </c>
      <c r="E309" s="194" t="str">
        <f t="shared" si="4"/>
        <v>level I</v>
      </c>
    </row>
    <row r="310" spans="1:5" x14ac:dyDescent="0.15">
      <c r="A310" s="194">
        <v>2892</v>
      </c>
      <c r="B310" s="195" t="s">
        <v>823</v>
      </c>
      <c r="C310" s="195" t="s">
        <v>1017</v>
      </c>
      <c r="D310" s="196">
        <v>0.95</v>
      </c>
      <c r="E310" s="194" t="str">
        <f t="shared" si="4"/>
        <v>level I</v>
      </c>
    </row>
    <row r="311" spans="1:5" x14ac:dyDescent="0.15">
      <c r="A311" s="194">
        <v>2893</v>
      </c>
      <c r="B311" s="195" t="s">
        <v>823</v>
      </c>
      <c r="C311" s="195" t="s">
        <v>1018</v>
      </c>
      <c r="D311" s="196">
        <v>0.95</v>
      </c>
      <c r="E311" s="194" t="str">
        <f t="shared" si="4"/>
        <v>level I</v>
      </c>
    </row>
    <row r="312" spans="1:5" x14ac:dyDescent="0.15">
      <c r="A312" s="194">
        <v>2895</v>
      </c>
      <c r="B312" s="195" t="s">
        <v>823</v>
      </c>
      <c r="C312" s="195" t="s">
        <v>1019</v>
      </c>
      <c r="D312" s="196">
        <v>0.95</v>
      </c>
      <c r="E312" s="194" t="str">
        <f t="shared" si="4"/>
        <v>level I</v>
      </c>
    </row>
    <row r="313" spans="1:5" x14ac:dyDescent="0.15">
      <c r="A313" s="194">
        <v>2899</v>
      </c>
      <c r="B313" s="195" t="s">
        <v>823</v>
      </c>
      <c r="C313" s="195" t="s">
        <v>1020</v>
      </c>
      <c r="D313" s="196">
        <v>0.95</v>
      </c>
      <c r="E313" s="194" t="str">
        <f t="shared" si="4"/>
        <v>level I</v>
      </c>
    </row>
    <row r="314" spans="1:5" x14ac:dyDescent="0.15">
      <c r="A314" s="194">
        <v>2911</v>
      </c>
      <c r="B314" s="195" t="s">
        <v>823</v>
      </c>
      <c r="C314" s="195" t="s">
        <v>1021</v>
      </c>
      <c r="D314" s="196">
        <v>1.05</v>
      </c>
      <c r="E314" s="194" t="str">
        <f t="shared" si="4"/>
        <v>level III</v>
      </c>
    </row>
    <row r="315" spans="1:5" x14ac:dyDescent="0.15">
      <c r="A315" s="194">
        <v>2951</v>
      </c>
      <c r="B315" s="195" t="s">
        <v>823</v>
      </c>
      <c r="C315" s="195" t="s">
        <v>1022</v>
      </c>
      <c r="D315" s="196">
        <v>1.05</v>
      </c>
      <c r="E315" s="194" t="str">
        <f t="shared" si="4"/>
        <v>level III</v>
      </c>
    </row>
    <row r="316" spans="1:5" x14ac:dyDescent="0.15">
      <c r="A316" s="194">
        <v>2952</v>
      </c>
      <c r="B316" s="195" t="s">
        <v>823</v>
      </c>
      <c r="C316" s="195" t="s">
        <v>1023</v>
      </c>
      <c r="D316" s="196">
        <v>1.05</v>
      </c>
      <c r="E316" s="194" t="str">
        <f t="shared" si="4"/>
        <v>level III</v>
      </c>
    </row>
    <row r="317" spans="1:5" x14ac:dyDescent="0.15">
      <c r="A317" s="194">
        <v>2992</v>
      </c>
      <c r="B317" s="195" t="s">
        <v>823</v>
      </c>
      <c r="C317" s="195" t="s">
        <v>1024</v>
      </c>
      <c r="D317" s="196">
        <v>1.05</v>
      </c>
      <c r="E317" s="194" t="str">
        <f t="shared" si="4"/>
        <v>level III</v>
      </c>
    </row>
    <row r="318" spans="1:5" x14ac:dyDescent="0.15">
      <c r="A318" s="194">
        <v>2999</v>
      </c>
      <c r="B318" s="195" t="s">
        <v>823</v>
      </c>
      <c r="C318" s="195" t="s">
        <v>1025</v>
      </c>
      <c r="D318" s="196">
        <v>1.05</v>
      </c>
      <c r="E318" s="194" t="str">
        <f t="shared" si="4"/>
        <v>level III</v>
      </c>
    </row>
    <row r="319" spans="1:5" x14ac:dyDescent="0.15">
      <c r="A319" s="194">
        <v>3011</v>
      </c>
      <c r="B319" s="195" t="s">
        <v>823</v>
      </c>
      <c r="C319" s="195" t="s">
        <v>1026</v>
      </c>
      <c r="D319" s="196">
        <v>0.95</v>
      </c>
      <c r="E319" s="194" t="str">
        <f t="shared" si="4"/>
        <v>level I</v>
      </c>
    </row>
    <row r="320" spans="1:5" x14ac:dyDescent="0.15">
      <c r="A320" s="194">
        <v>3021</v>
      </c>
      <c r="B320" s="195" t="s">
        <v>823</v>
      </c>
      <c r="C320" s="195" t="s">
        <v>1027</v>
      </c>
      <c r="D320" s="196">
        <v>0.95</v>
      </c>
      <c r="E320" s="194" t="str">
        <f t="shared" si="4"/>
        <v>level I</v>
      </c>
    </row>
    <row r="321" spans="1:5" x14ac:dyDescent="0.15">
      <c r="A321" s="194">
        <v>3052</v>
      </c>
      <c r="B321" s="195" t="s">
        <v>823</v>
      </c>
      <c r="C321" s="195" t="s">
        <v>1028</v>
      </c>
      <c r="D321" s="196">
        <v>0.95</v>
      </c>
      <c r="E321" s="194" t="str">
        <f t="shared" si="4"/>
        <v>level I</v>
      </c>
    </row>
    <row r="322" spans="1:5" x14ac:dyDescent="0.15">
      <c r="A322" s="194">
        <v>3053</v>
      </c>
      <c r="B322" s="195" t="s">
        <v>823</v>
      </c>
      <c r="C322" s="195" t="s">
        <v>1029</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823</v>
      </c>
      <c r="C323" s="195" t="s">
        <v>1030</v>
      </c>
      <c r="D323" s="196">
        <v>0.95</v>
      </c>
      <c r="E323" s="194" t="str">
        <f t="shared" si="5"/>
        <v>level I</v>
      </c>
    </row>
    <row r="324" spans="1:5" x14ac:dyDescent="0.15">
      <c r="A324" s="194">
        <v>3069</v>
      </c>
      <c r="B324" s="195" t="s">
        <v>823</v>
      </c>
      <c r="C324" s="195" t="s">
        <v>1031</v>
      </c>
      <c r="D324" s="196">
        <v>0.95</v>
      </c>
      <c r="E324" s="194" t="str">
        <f t="shared" si="5"/>
        <v>level I</v>
      </c>
    </row>
    <row r="325" spans="1:5" x14ac:dyDescent="0.15">
      <c r="A325" s="194">
        <v>3081</v>
      </c>
      <c r="B325" s="195" t="s">
        <v>823</v>
      </c>
      <c r="C325" s="195" t="s">
        <v>1032</v>
      </c>
      <c r="D325" s="196">
        <v>0.95</v>
      </c>
      <c r="E325" s="194" t="str">
        <f t="shared" si="5"/>
        <v>level I</v>
      </c>
    </row>
    <row r="326" spans="1:5" x14ac:dyDescent="0.15">
      <c r="A326" s="194">
        <v>3082</v>
      </c>
      <c r="B326" s="195" t="s">
        <v>823</v>
      </c>
      <c r="C326" s="195" t="s">
        <v>1033</v>
      </c>
      <c r="D326" s="196">
        <v>0.95</v>
      </c>
      <c r="E326" s="194" t="str">
        <f t="shared" si="5"/>
        <v>level I</v>
      </c>
    </row>
    <row r="327" spans="1:5" x14ac:dyDescent="0.15">
      <c r="A327" s="194">
        <v>3083</v>
      </c>
      <c r="B327" s="195" t="s">
        <v>823</v>
      </c>
      <c r="C327" s="195" t="s">
        <v>1034</v>
      </c>
      <c r="D327" s="196">
        <v>0.95</v>
      </c>
      <c r="E327" s="194" t="str">
        <f t="shared" si="5"/>
        <v>level I</v>
      </c>
    </row>
    <row r="328" spans="1:5" x14ac:dyDescent="0.15">
      <c r="A328" s="194">
        <v>3084</v>
      </c>
      <c r="B328" s="195" t="s">
        <v>823</v>
      </c>
      <c r="C328" s="195" t="s">
        <v>1035</v>
      </c>
      <c r="D328" s="196">
        <v>0.95</v>
      </c>
      <c r="E328" s="194" t="str">
        <f t="shared" si="5"/>
        <v>level I</v>
      </c>
    </row>
    <row r="329" spans="1:5" x14ac:dyDescent="0.15">
      <c r="A329" s="194">
        <v>3085</v>
      </c>
      <c r="B329" s="195" t="s">
        <v>823</v>
      </c>
      <c r="C329" s="195" t="s">
        <v>1036</v>
      </c>
      <c r="D329" s="196">
        <v>0.95</v>
      </c>
      <c r="E329" s="194" t="str">
        <f t="shared" si="5"/>
        <v>level I</v>
      </c>
    </row>
    <row r="330" spans="1:5" x14ac:dyDescent="0.15">
      <c r="A330" s="194">
        <v>3086</v>
      </c>
      <c r="B330" s="195" t="s">
        <v>823</v>
      </c>
      <c r="C330" s="195" t="s">
        <v>1037</v>
      </c>
      <c r="D330" s="196">
        <v>0.95</v>
      </c>
      <c r="E330" s="194" t="str">
        <f t="shared" si="5"/>
        <v>level I</v>
      </c>
    </row>
    <row r="331" spans="1:5" x14ac:dyDescent="0.15">
      <c r="A331" s="194">
        <v>3087</v>
      </c>
      <c r="B331" s="195" t="s">
        <v>823</v>
      </c>
      <c r="C331" s="195" t="s">
        <v>1038</v>
      </c>
      <c r="D331" s="196">
        <v>0.95</v>
      </c>
      <c r="E331" s="194" t="str">
        <f t="shared" si="5"/>
        <v>level I</v>
      </c>
    </row>
    <row r="332" spans="1:5" x14ac:dyDescent="0.15">
      <c r="A332" s="194">
        <v>3088</v>
      </c>
      <c r="B332" s="195" t="s">
        <v>823</v>
      </c>
      <c r="C332" s="195" t="s">
        <v>1039</v>
      </c>
      <c r="D332" s="196">
        <v>0.95</v>
      </c>
      <c r="E332" s="194" t="str">
        <f t="shared" si="5"/>
        <v>level I</v>
      </c>
    </row>
    <row r="333" spans="1:5" x14ac:dyDescent="0.15">
      <c r="A333" s="194">
        <v>3089</v>
      </c>
      <c r="B333" s="195" t="s">
        <v>823</v>
      </c>
      <c r="C333" s="195" t="s">
        <v>1040</v>
      </c>
      <c r="D333" s="196">
        <v>0.95</v>
      </c>
      <c r="E333" s="194" t="str">
        <f t="shared" si="5"/>
        <v>level I</v>
      </c>
    </row>
    <row r="334" spans="1:5" x14ac:dyDescent="0.15">
      <c r="A334" s="194">
        <v>3111</v>
      </c>
      <c r="B334" s="195" t="s">
        <v>823</v>
      </c>
      <c r="C334" s="195" t="s">
        <v>1041</v>
      </c>
      <c r="D334" s="196">
        <v>0.95</v>
      </c>
      <c r="E334" s="194" t="str">
        <f t="shared" si="5"/>
        <v>level I</v>
      </c>
    </row>
    <row r="335" spans="1:5" x14ac:dyDescent="0.15">
      <c r="A335" s="194">
        <v>3131</v>
      </c>
      <c r="B335" s="195" t="s">
        <v>823</v>
      </c>
      <c r="C335" s="195" t="s">
        <v>1042</v>
      </c>
      <c r="D335" s="196">
        <v>0.95</v>
      </c>
      <c r="E335" s="194" t="str">
        <f t="shared" si="5"/>
        <v>level I</v>
      </c>
    </row>
    <row r="336" spans="1:5" x14ac:dyDescent="0.15">
      <c r="A336" s="194">
        <v>3142</v>
      </c>
      <c r="B336" s="195" t="s">
        <v>823</v>
      </c>
      <c r="C336" s="195" t="s">
        <v>1043</v>
      </c>
      <c r="D336" s="196">
        <v>0.95</v>
      </c>
      <c r="E336" s="194" t="str">
        <f t="shared" si="5"/>
        <v>level I</v>
      </c>
    </row>
    <row r="337" spans="1:5" x14ac:dyDescent="0.15">
      <c r="A337" s="194">
        <v>3143</v>
      </c>
      <c r="B337" s="195" t="s">
        <v>823</v>
      </c>
      <c r="C337" s="195" t="s">
        <v>1044</v>
      </c>
      <c r="D337" s="196">
        <v>0.95</v>
      </c>
      <c r="E337" s="194" t="str">
        <f t="shared" si="5"/>
        <v>level I</v>
      </c>
    </row>
    <row r="338" spans="1:5" x14ac:dyDescent="0.15">
      <c r="A338" s="194">
        <v>3144</v>
      </c>
      <c r="B338" s="195" t="s">
        <v>823</v>
      </c>
      <c r="C338" s="195" t="s">
        <v>1045</v>
      </c>
      <c r="D338" s="196">
        <v>0.95</v>
      </c>
      <c r="E338" s="194" t="str">
        <f t="shared" si="5"/>
        <v>level I</v>
      </c>
    </row>
    <row r="339" spans="1:5" x14ac:dyDescent="0.15">
      <c r="A339" s="194">
        <v>3149</v>
      </c>
      <c r="B339" s="195" t="s">
        <v>823</v>
      </c>
      <c r="C339" s="195" t="s">
        <v>1046</v>
      </c>
      <c r="D339" s="196">
        <v>0.95</v>
      </c>
      <c r="E339" s="194" t="str">
        <f t="shared" si="5"/>
        <v>level I</v>
      </c>
    </row>
    <row r="340" spans="1:5" x14ac:dyDescent="0.15">
      <c r="A340" s="194">
        <v>3151</v>
      </c>
      <c r="B340" s="195" t="s">
        <v>823</v>
      </c>
      <c r="C340" s="195" t="s">
        <v>1047</v>
      </c>
      <c r="D340" s="196">
        <v>0.95</v>
      </c>
      <c r="E340" s="194" t="str">
        <f t="shared" si="5"/>
        <v>level I</v>
      </c>
    </row>
    <row r="341" spans="1:5" x14ac:dyDescent="0.15">
      <c r="A341" s="194">
        <v>3161</v>
      </c>
      <c r="B341" s="195" t="s">
        <v>823</v>
      </c>
      <c r="C341" s="195" t="s">
        <v>1048</v>
      </c>
      <c r="D341" s="196">
        <v>0.95</v>
      </c>
      <c r="E341" s="194" t="str">
        <f t="shared" si="5"/>
        <v>level I</v>
      </c>
    </row>
    <row r="342" spans="1:5" x14ac:dyDescent="0.15">
      <c r="A342" s="194">
        <v>3171</v>
      </c>
      <c r="B342" s="195" t="s">
        <v>823</v>
      </c>
      <c r="C342" s="195" t="s">
        <v>1049</v>
      </c>
      <c r="D342" s="196">
        <v>0.95</v>
      </c>
      <c r="E342" s="194" t="str">
        <f t="shared" si="5"/>
        <v>level I</v>
      </c>
    </row>
    <row r="343" spans="1:5" x14ac:dyDescent="0.15">
      <c r="A343" s="194">
        <v>3172</v>
      </c>
      <c r="B343" s="195" t="s">
        <v>823</v>
      </c>
      <c r="C343" s="195" t="s">
        <v>1050</v>
      </c>
      <c r="D343" s="196">
        <v>0.95</v>
      </c>
      <c r="E343" s="194" t="str">
        <f t="shared" si="5"/>
        <v>level I</v>
      </c>
    </row>
    <row r="344" spans="1:5" x14ac:dyDescent="0.15">
      <c r="A344" s="194">
        <v>3199</v>
      </c>
      <c r="B344" s="195" t="s">
        <v>823</v>
      </c>
      <c r="C344" s="195" t="s">
        <v>1051</v>
      </c>
      <c r="D344" s="196">
        <v>0.95</v>
      </c>
      <c r="E344" s="194" t="str">
        <f t="shared" si="5"/>
        <v>level I</v>
      </c>
    </row>
    <row r="345" spans="1:5" x14ac:dyDescent="0.15">
      <c r="A345" s="194">
        <v>3211</v>
      </c>
      <c r="B345" s="195" t="s">
        <v>823</v>
      </c>
      <c r="C345" s="195" t="s">
        <v>1052</v>
      </c>
      <c r="D345" s="196">
        <v>1.05</v>
      </c>
      <c r="E345" s="194" t="str">
        <f t="shared" si="5"/>
        <v>level III</v>
      </c>
    </row>
    <row r="346" spans="1:5" x14ac:dyDescent="0.15">
      <c r="A346" s="194">
        <v>3221</v>
      </c>
      <c r="B346" s="195" t="s">
        <v>823</v>
      </c>
      <c r="C346" s="195" t="s">
        <v>1053</v>
      </c>
      <c r="D346" s="196">
        <v>1.05</v>
      </c>
      <c r="E346" s="194" t="str">
        <f t="shared" si="5"/>
        <v>level III</v>
      </c>
    </row>
    <row r="347" spans="1:5" x14ac:dyDescent="0.15">
      <c r="A347" s="194">
        <v>3229</v>
      </c>
      <c r="B347" s="195" t="s">
        <v>823</v>
      </c>
      <c r="C347" s="195" t="s">
        <v>1054</v>
      </c>
      <c r="D347" s="196">
        <v>1.05</v>
      </c>
      <c r="E347" s="194" t="str">
        <f t="shared" si="5"/>
        <v>level III</v>
      </c>
    </row>
    <row r="348" spans="1:5" x14ac:dyDescent="0.15">
      <c r="A348" s="194">
        <v>3231</v>
      </c>
      <c r="B348" s="195" t="s">
        <v>823</v>
      </c>
      <c r="C348" s="195" t="s">
        <v>1055</v>
      </c>
      <c r="D348" s="196">
        <v>1.05</v>
      </c>
      <c r="E348" s="194" t="str">
        <f t="shared" si="5"/>
        <v>level III</v>
      </c>
    </row>
    <row r="349" spans="1:5" x14ac:dyDescent="0.15">
      <c r="A349" s="194">
        <v>3241</v>
      </c>
      <c r="B349" s="195" t="s">
        <v>823</v>
      </c>
      <c r="C349" s="195" t="s">
        <v>1056</v>
      </c>
      <c r="D349" s="196">
        <v>1.05</v>
      </c>
      <c r="E349" s="194" t="str">
        <f t="shared" si="5"/>
        <v>level III</v>
      </c>
    </row>
    <row r="350" spans="1:5" x14ac:dyDescent="0.15">
      <c r="A350" s="194">
        <v>3251</v>
      </c>
      <c r="B350" s="195" t="s">
        <v>823</v>
      </c>
      <c r="C350" s="195" t="s">
        <v>1057</v>
      </c>
      <c r="D350" s="196">
        <v>1.05</v>
      </c>
      <c r="E350" s="194" t="str">
        <f t="shared" si="5"/>
        <v>level III</v>
      </c>
    </row>
    <row r="351" spans="1:5" x14ac:dyDescent="0.15">
      <c r="A351" s="194">
        <v>3253</v>
      </c>
      <c r="B351" s="195" t="s">
        <v>823</v>
      </c>
      <c r="C351" s="195" t="s">
        <v>1058</v>
      </c>
      <c r="D351" s="196">
        <v>1.05</v>
      </c>
      <c r="E351" s="194" t="str">
        <f t="shared" si="5"/>
        <v>level III</v>
      </c>
    </row>
    <row r="352" spans="1:5" x14ac:dyDescent="0.15">
      <c r="A352" s="194">
        <v>3255</v>
      </c>
      <c r="B352" s="195" t="s">
        <v>823</v>
      </c>
      <c r="C352" s="195" t="s">
        <v>1059</v>
      </c>
      <c r="D352" s="196">
        <v>1.05</v>
      </c>
      <c r="E352" s="194" t="str">
        <f t="shared" si="5"/>
        <v>level III</v>
      </c>
    </row>
    <row r="353" spans="1:5" x14ac:dyDescent="0.15">
      <c r="A353" s="194">
        <v>3259</v>
      </c>
      <c r="B353" s="195" t="s">
        <v>823</v>
      </c>
      <c r="C353" s="195" t="s">
        <v>1060</v>
      </c>
      <c r="D353" s="196">
        <v>1.05</v>
      </c>
      <c r="E353" s="194" t="str">
        <f t="shared" si="5"/>
        <v>level III</v>
      </c>
    </row>
    <row r="354" spans="1:5" x14ac:dyDescent="0.15">
      <c r="A354" s="194">
        <v>3261</v>
      </c>
      <c r="B354" s="195" t="s">
        <v>823</v>
      </c>
      <c r="C354" s="195" t="s">
        <v>1061</v>
      </c>
      <c r="D354" s="196">
        <v>1.05</v>
      </c>
      <c r="E354" s="194" t="str">
        <f t="shared" si="5"/>
        <v>level III</v>
      </c>
    </row>
    <row r="355" spans="1:5" x14ac:dyDescent="0.15">
      <c r="A355" s="194">
        <v>3262</v>
      </c>
      <c r="B355" s="195" t="s">
        <v>823</v>
      </c>
      <c r="C355" s="195" t="s">
        <v>1062</v>
      </c>
      <c r="D355" s="196">
        <v>1.05</v>
      </c>
      <c r="E355" s="194" t="str">
        <f t="shared" si="5"/>
        <v>level III</v>
      </c>
    </row>
    <row r="356" spans="1:5" x14ac:dyDescent="0.15">
      <c r="A356" s="194">
        <v>3263</v>
      </c>
      <c r="B356" s="195" t="s">
        <v>823</v>
      </c>
      <c r="C356" s="195" t="s">
        <v>1063</v>
      </c>
      <c r="D356" s="196">
        <v>1.05</v>
      </c>
      <c r="E356" s="194" t="str">
        <f t="shared" si="5"/>
        <v>level III</v>
      </c>
    </row>
    <row r="357" spans="1:5" x14ac:dyDescent="0.15">
      <c r="A357" s="194">
        <v>3264</v>
      </c>
      <c r="B357" s="195" t="s">
        <v>823</v>
      </c>
      <c r="C357" s="195" t="s">
        <v>1064</v>
      </c>
      <c r="D357" s="196">
        <v>1.05</v>
      </c>
      <c r="E357" s="194" t="str">
        <f t="shared" si="5"/>
        <v>level III</v>
      </c>
    </row>
    <row r="358" spans="1:5" x14ac:dyDescent="0.15">
      <c r="A358" s="194">
        <v>3269</v>
      </c>
      <c r="B358" s="195" t="s">
        <v>823</v>
      </c>
      <c r="C358" s="195" t="s">
        <v>1065</v>
      </c>
      <c r="D358" s="196">
        <v>1.05</v>
      </c>
      <c r="E358" s="194" t="str">
        <f t="shared" si="5"/>
        <v>level III</v>
      </c>
    </row>
    <row r="359" spans="1:5" x14ac:dyDescent="0.15">
      <c r="A359" s="194">
        <v>3271</v>
      </c>
      <c r="B359" s="195" t="s">
        <v>823</v>
      </c>
      <c r="C359" s="195" t="s">
        <v>1066</v>
      </c>
      <c r="D359" s="196">
        <v>1.05</v>
      </c>
      <c r="E359" s="194" t="str">
        <f t="shared" si="5"/>
        <v>level III</v>
      </c>
    </row>
    <row r="360" spans="1:5" x14ac:dyDescent="0.15">
      <c r="A360" s="194">
        <v>3272</v>
      </c>
      <c r="B360" s="195" t="s">
        <v>823</v>
      </c>
      <c r="C360" s="195" t="s">
        <v>1067</v>
      </c>
      <c r="D360" s="196">
        <v>1.05</v>
      </c>
      <c r="E360" s="194" t="str">
        <f t="shared" si="5"/>
        <v>level III</v>
      </c>
    </row>
    <row r="361" spans="1:5" x14ac:dyDescent="0.15">
      <c r="A361" s="194">
        <v>3273</v>
      </c>
      <c r="B361" s="195" t="s">
        <v>823</v>
      </c>
      <c r="C361" s="195" t="s">
        <v>1068</v>
      </c>
      <c r="D361" s="196">
        <v>1.05</v>
      </c>
      <c r="E361" s="194" t="str">
        <f t="shared" si="5"/>
        <v>level III</v>
      </c>
    </row>
    <row r="362" spans="1:5" x14ac:dyDescent="0.15">
      <c r="A362" s="194">
        <v>3274</v>
      </c>
      <c r="B362" s="195" t="s">
        <v>823</v>
      </c>
      <c r="C362" s="195" t="s">
        <v>1069</v>
      </c>
      <c r="D362" s="196">
        <v>1.05</v>
      </c>
      <c r="E362" s="194" t="str">
        <f t="shared" si="5"/>
        <v>level III</v>
      </c>
    </row>
    <row r="363" spans="1:5" x14ac:dyDescent="0.15">
      <c r="A363" s="194">
        <v>3275</v>
      </c>
      <c r="B363" s="195" t="s">
        <v>823</v>
      </c>
      <c r="C363" s="195" t="s">
        <v>1070</v>
      </c>
      <c r="D363" s="196">
        <v>1.05</v>
      </c>
      <c r="E363" s="194" t="str">
        <f t="shared" si="5"/>
        <v>level III</v>
      </c>
    </row>
    <row r="364" spans="1:5" x14ac:dyDescent="0.15">
      <c r="A364" s="194">
        <v>3281</v>
      </c>
      <c r="B364" s="195" t="s">
        <v>823</v>
      </c>
      <c r="C364" s="195" t="s">
        <v>1071</v>
      </c>
      <c r="D364" s="196">
        <v>1.05</v>
      </c>
      <c r="E364" s="194" t="str">
        <f t="shared" si="5"/>
        <v>level III</v>
      </c>
    </row>
    <row r="365" spans="1:5" x14ac:dyDescent="0.15">
      <c r="A365" s="194">
        <v>3291</v>
      </c>
      <c r="B365" s="195" t="s">
        <v>823</v>
      </c>
      <c r="C365" s="195" t="s">
        <v>1072</v>
      </c>
      <c r="D365" s="196">
        <v>1.05</v>
      </c>
      <c r="E365" s="194" t="str">
        <f t="shared" si="5"/>
        <v>level III</v>
      </c>
    </row>
    <row r="366" spans="1:5" x14ac:dyDescent="0.15">
      <c r="A366" s="194">
        <v>3292</v>
      </c>
      <c r="B366" s="195" t="s">
        <v>823</v>
      </c>
      <c r="C366" s="195" t="s">
        <v>1073</v>
      </c>
      <c r="D366" s="196">
        <v>1.05</v>
      </c>
      <c r="E366" s="194" t="str">
        <f t="shared" si="5"/>
        <v>level III</v>
      </c>
    </row>
    <row r="367" spans="1:5" x14ac:dyDescent="0.15">
      <c r="A367" s="194">
        <v>3295</v>
      </c>
      <c r="B367" s="195" t="s">
        <v>823</v>
      </c>
      <c r="C367" s="195" t="s">
        <v>1074</v>
      </c>
      <c r="D367" s="196">
        <v>1.05</v>
      </c>
      <c r="E367" s="194" t="str">
        <f t="shared" si="5"/>
        <v>level III</v>
      </c>
    </row>
    <row r="368" spans="1:5" x14ac:dyDescent="0.15">
      <c r="A368" s="194">
        <v>3296</v>
      </c>
      <c r="B368" s="195" t="s">
        <v>823</v>
      </c>
      <c r="C368" s="195" t="s">
        <v>1075</v>
      </c>
      <c r="D368" s="196">
        <v>1.05</v>
      </c>
      <c r="E368" s="194" t="str">
        <f t="shared" si="5"/>
        <v>level III</v>
      </c>
    </row>
    <row r="369" spans="1:5" x14ac:dyDescent="0.15">
      <c r="A369" s="194">
        <v>3297</v>
      </c>
      <c r="B369" s="195" t="s">
        <v>823</v>
      </c>
      <c r="C369" s="195" t="s">
        <v>1076</v>
      </c>
      <c r="D369" s="196">
        <v>1.05</v>
      </c>
      <c r="E369" s="194" t="str">
        <f t="shared" si="5"/>
        <v>level III</v>
      </c>
    </row>
    <row r="370" spans="1:5" x14ac:dyDescent="0.15">
      <c r="A370" s="194">
        <v>3299</v>
      </c>
      <c r="B370" s="195" t="s">
        <v>823</v>
      </c>
      <c r="C370" s="195" t="s">
        <v>1077</v>
      </c>
      <c r="D370" s="196">
        <v>1.05</v>
      </c>
      <c r="E370" s="194" t="str">
        <f t="shared" si="5"/>
        <v>level III</v>
      </c>
    </row>
    <row r="371" spans="1:5" x14ac:dyDescent="0.15">
      <c r="A371" s="194">
        <v>3312</v>
      </c>
      <c r="B371" s="195" t="s">
        <v>823</v>
      </c>
      <c r="C371" s="195" t="s">
        <v>1078</v>
      </c>
      <c r="D371" s="196">
        <v>1.05</v>
      </c>
      <c r="E371" s="194" t="str">
        <f t="shared" si="5"/>
        <v>level III</v>
      </c>
    </row>
    <row r="372" spans="1:5" x14ac:dyDescent="0.15">
      <c r="A372" s="194">
        <v>3313</v>
      </c>
      <c r="B372" s="195" t="s">
        <v>823</v>
      </c>
      <c r="C372" s="195" t="s">
        <v>1079</v>
      </c>
      <c r="D372" s="196">
        <v>1.05</v>
      </c>
      <c r="E372" s="194" t="str">
        <f t="shared" si="5"/>
        <v>level III</v>
      </c>
    </row>
    <row r="373" spans="1:5" x14ac:dyDescent="0.15">
      <c r="A373" s="194">
        <v>3315</v>
      </c>
      <c r="B373" s="195" t="s">
        <v>823</v>
      </c>
      <c r="C373" s="195" t="s">
        <v>1080</v>
      </c>
      <c r="D373" s="196">
        <v>1.05</v>
      </c>
      <c r="E373" s="194" t="str">
        <f t="shared" si="5"/>
        <v>level III</v>
      </c>
    </row>
    <row r="374" spans="1:5" x14ac:dyDescent="0.15">
      <c r="A374" s="194">
        <v>3316</v>
      </c>
      <c r="B374" s="195" t="s">
        <v>823</v>
      </c>
      <c r="C374" s="195" t="s">
        <v>1081</v>
      </c>
      <c r="D374" s="196">
        <v>1.05</v>
      </c>
      <c r="E374" s="194" t="str">
        <f t="shared" si="5"/>
        <v>level III</v>
      </c>
    </row>
    <row r="375" spans="1:5" x14ac:dyDescent="0.15">
      <c r="A375" s="194">
        <v>3317</v>
      </c>
      <c r="B375" s="195" t="s">
        <v>823</v>
      </c>
      <c r="C375" s="195" t="s">
        <v>1082</v>
      </c>
      <c r="D375" s="196">
        <v>1.05</v>
      </c>
      <c r="E375" s="194" t="str">
        <f t="shared" si="5"/>
        <v>level III</v>
      </c>
    </row>
    <row r="376" spans="1:5" x14ac:dyDescent="0.15">
      <c r="A376" s="194">
        <v>3321</v>
      </c>
      <c r="B376" s="195" t="s">
        <v>823</v>
      </c>
      <c r="C376" s="195" t="s">
        <v>1083</v>
      </c>
      <c r="D376" s="196">
        <v>1.05</v>
      </c>
      <c r="E376" s="194" t="str">
        <f t="shared" si="5"/>
        <v>level III</v>
      </c>
    </row>
    <row r="377" spans="1:5" x14ac:dyDescent="0.15">
      <c r="A377" s="194">
        <v>3322</v>
      </c>
      <c r="B377" s="195" t="s">
        <v>823</v>
      </c>
      <c r="C377" s="195" t="s">
        <v>1084</v>
      </c>
      <c r="D377" s="196">
        <v>1.05</v>
      </c>
      <c r="E377" s="194" t="str">
        <f t="shared" si="5"/>
        <v>level III</v>
      </c>
    </row>
    <row r="378" spans="1:5" x14ac:dyDescent="0.15">
      <c r="A378" s="194">
        <v>3324</v>
      </c>
      <c r="B378" s="195" t="s">
        <v>823</v>
      </c>
      <c r="C378" s="195" t="s">
        <v>1085</v>
      </c>
      <c r="D378" s="196">
        <v>1.05</v>
      </c>
      <c r="E378" s="194" t="str">
        <f t="shared" si="5"/>
        <v>level III</v>
      </c>
    </row>
    <row r="379" spans="1:5" x14ac:dyDescent="0.15">
      <c r="A379" s="194">
        <v>3325</v>
      </c>
      <c r="B379" s="195" t="s">
        <v>823</v>
      </c>
      <c r="C379" s="195" t="s">
        <v>1086</v>
      </c>
      <c r="D379" s="196">
        <v>1.05</v>
      </c>
      <c r="E379" s="194" t="str">
        <f t="shared" si="5"/>
        <v>level III</v>
      </c>
    </row>
    <row r="380" spans="1:5" x14ac:dyDescent="0.15">
      <c r="A380" s="194">
        <v>3331</v>
      </c>
      <c r="B380" s="195" t="s">
        <v>823</v>
      </c>
      <c r="C380" s="195" t="s">
        <v>1087</v>
      </c>
      <c r="D380" s="196">
        <v>1.05</v>
      </c>
      <c r="E380" s="194" t="str">
        <f t="shared" si="5"/>
        <v>level III</v>
      </c>
    </row>
    <row r="381" spans="1:5" x14ac:dyDescent="0.15">
      <c r="A381" s="194">
        <v>3334</v>
      </c>
      <c r="B381" s="195" t="s">
        <v>823</v>
      </c>
      <c r="C381" s="195" t="s">
        <v>1088</v>
      </c>
      <c r="D381" s="196">
        <v>1.05</v>
      </c>
      <c r="E381" s="194" t="str">
        <f t="shared" si="5"/>
        <v>level III</v>
      </c>
    </row>
    <row r="382" spans="1:5" x14ac:dyDescent="0.15">
      <c r="A382" s="194">
        <v>3339</v>
      </c>
      <c r="B382" s="195" t="s">
        <v>823</v>
      </c>
      <c r="C382" s="195" t="s">
        <v>1089</v>
      </c>
      <c r="D382" s="196">
        <v>1.05</v>
      </c>
      <c r="E382" s="194" t="str">
        <f t="shared" si="5"/>
        <v>level III</v>
      </c>
    </row>
    <row r="383" spans="1:5" x14ac:dyDescent="0.15">
      <c r="A383" s="194">
        <v>3341</v>
      </c>
      <c r="B383" s="195" t="s">
        <v>823</v>
      </c>
      <c r="C383" s="195" t="s">
        <v>1090</v>
      </c>
      <c r="D383" s="196">
        <v>1.05</v>
      </c>
      <c r="E383" s="194" t="str">
        <f t="shared" si="5"/>
        <v>level III</v>
      </c>
    </row>
    <row r="384" spans="1:5" x14ac:dyDescent="0.15">
      <c r="A384" s="194">
        <v>3351</v>
      </c>
      <c r="B384" s="195" t="s">
        <v>823</v>
      </c>
      <c r="C384" s="195" t="s">
        <v>1091</v>
      </c>
      <c r="D384" s="196">
        <v>1.05</v>
      </c>
      <c r="E384" s="194" t="str">
        <f t="shared" si="5"/>
        <v>level III</v>
      </c>
    </row>
    <row r="385" spans="1:5" x14ac:dyDescent="0.15">
      <c r="A385" s="194">
        <v>3353</v>
      </c>
      <c r="B385" s="195" t="s">
        <v>823</v>
      </c>
      <c r="C385" s="195" t="s">
        <v>1092</v>
      </c>
      <c r="D385" s="196">
        <v>1.05</v>
      </c>
      <c r="E385" s="194" t="str">
        <f t="shared" si="5"/>
        <v>level III</v>
      </c>
    </row>
    <row r="386" spans="1:5" x14ac:dyDescent="0.15">
      <c r="A386" s="194">
        <v>3354</v>
      </c>
      <c r="B386" s="195" t="s">
        <v>823</v>
      </c>
      <c r="C386" s="195" t="s">
        <v>1093</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823</v>
      </c>
      <c r="C387" s="195" t="s">
        <v>1094</v>
      </c>
      <c r="D387" s="196">
        <v>1.05</v>
      </c>
      <c r="E387" s="194" t="str">
        <f t="shared" si="6"/>
        <v>level III</v>
      </c>
    </row>
    <row r="388" spans="1:5" x14ac:dyDescent="0.15">
      <c r="A388" s="194">
        <v>3356</v>
      </c>
      <c r="B388" s="195" t="s">
        <v>823</v>
      </c>
      <c r="C388" s="195" t="s">
        <v>1095</v>
      </c>
      <c r="D388" s="196">
        <v>1.05</v>
      </c>
      <c r="E388" s="194" t="str">
        <f t="shared" si="6"/>
        <v>level III</v>
      </c>
    </row>
    <row r="389" spans="1:5" x14ac:dyDescent="0.15">
      <c r="A389" s="194">
        <v>3357</v>
      </c>
      <c r="B389" s="195" t="s">
        <v>823</v>
      </c>
      <c r="C389" s="195" t="s">
        <v>1096</v>
      </c>
      <c r="D389" s="196">
        <v>1.05</v>
      </c>
      <c r="E389" s="194" t="str">
        <f t="shared" si="6"/>
        <v>level III</v>
      </c>
    </row>
    <row r="390" spans="1:5" x14ac:dyDescent="0.15">
      <c r="A390" s="194">
        <v>3363</v>
      </c>
      <c r="B390" s="195" t="s">
        <v>823</v>
      </c>
      <c r="C390" s="195" t="s">
        <v>1097</v>
      </c>
      <c r="D390" s="196">
        <v>1.05</v>
      </c>
      <c r="E390" s="194" t="str">
        <f t="shared" si="6"/>
        <v>level III</v>
      </c>
    </row>
    <row r="391" spans="1:5" x14ac:dyDescent="0.15">
      <c r="A391" s="194">
        <v>3364</v>
      </c>
      <c r="B391" s="195" t="s">
        <v>823</v>
      </c>
      <c r="C391" s="195" t="s">
        <v>1098</v>
      </c>
      <c r="D391" s="196">
        <v>1.05</v>
      </c>
      <c r="E391" s="194" t="str">
        <f t="shared" si="6"/>
        <v>level III</v>
      </c>
    </row>
    <row r="392" spans="1:5" x14ac:dyDescent="0.15">
      <c r="A392" s="194">
        <v>3365</v>
      </c>
      <c r="B392" s="195" t="s">
        <v>823</v>
      </c>
      <c r="C392" s="195" t="s">
        <v>1099</v>
      </c>
      <c r="D392" s="196">
        <v>1.05</v>
      </c>
      <c r="E392" s="194" t="str">
        <f t="shared" si="6"/>
        <v>level III</v>
      </c>
    </row>
    <row r="393" spans="1:5" x14ac:dyDescent="0.15">
      <c r="A393" s="194">
        <v>3366</v>
      </c>
      <c r="B393" s="195" t="s">
        <v>823</v>
      </c>
      <c r="C393" s="195" t="s">
        <v>1100</v>
      </c>
      <c r="D393" s="196">
        <v>1.05</v>
      </c>
      <c r="E393" s="194" t="str">
        <f t="shared" si="6"/>
        <v>level III</v>
      </c>
    </row>
    <row r="394" spans="1:5" x14ac:dyDescent="0.15">
      <c r="A394" s="194">
        <v>3369</v>
      </c>
      <c r="B394" s="195" t="s">
        <v>823</v>
      </c>
      <c r="C394" s="195" t="s">
        <v>1101</v>
      </c>
      <c r="D394" s="196">
        <v>1.05</v>
      </c>
      <c r="E394" s="194" t="str">
        <f t="shared" si="6"/>
        <v>level III</v>
      </c>
    </row>
    <row r="395" spans="1:5" x14ac:dyDescent="0.15">
      <c r="A395" s="194">
        <v>3398</v>
      </c>
      <c r="B395" s="195" t="s">
        <v>823</v>
      </c>
      <c r="C395" s="195" t="s">
        <v>1102</v>
      </c>
      <c r="D395" s="196">
        <v>1.05</v>
      </c>
      <c r="E395" s="194" t="str">
        <f t="shared" si="6"/>
        <v>level III</v>
      </c>
    </row>
    <row r="396" spans="1:5" x14ac:dyDescent="0.15">
      <c r="A396" s="194">
        <v>3399</v>
      </c>
      <c r="B396" s="195" t="s">
        <v>823</v>
      </c>
      <c r="C396" s="195" t="s">
        <v>1103</v>
      </c>
      <c r="D396" s="196">
        <v>1.05</v>
      </c>
      <c r="E396" s="194" t="str">
        <f t="shared" si="6"/>
        <v>level III</v>
      </c>
    </row>
    <row r="397" spans="1:5" x14ac:dyDescent="0.15">
      <c r="A397" s="194">
        <v>3411</v>
      </c>
      <c r="B397" s="195" t="s">
        <v>823</v>
      </c>
      <c r="C397" s="195" t="s">
        <v>1104</v>
      </c>
      <c r="D397" s="196">
        <v>0.95</v>
      </c>
      <c r="E397" s="194" t="str">
        <f t="shared" si="6"/>
        <v>level I</v>
      </c>
    </row>
    <row r="398" spans="1:5" x14ac:dyDescent="0.15">
      <c r="A398" s="194">
        <v>3412</v>
      </c>
      <c r="B398" s="195" t="s">
        <v>823</v>
      </c>
      <c r="C398" s="195" t="s">
        <v>1105</v>
      </c>
      <c r="D398" s="196">
        <v>0.95</v>
      </c>
      <c r="E398" s="194" t="str">
        <f t="shared" si="6"/>
        <v>level I</v>
      </c>
    </row>
    <row r="399" spans="1:5" x14ac:dyDescent="0.15">
      <c r="A399" s="194">
        <v>3421</v>
      </c>
      <c r="B399" s="195" t="s">
        <v>823</v>
      </c>
      <c r="C399" s="195" t="s">
        <v>1106</v>
      </c>
      <c r="D399" s="196">
        <v>0.95</v>
      </c>
      <c r="E399" s="194" t="str">
        <f t="shared" si="6"/>
        <v>level I</v>
      </c>
    </row>
    <row r="400" spans="1:5" x14ac:dyDescent="0.15">
      <c r="A400" s="194">
        <v>3423</v>
      </c>
      <c r="B400" s="195" t="s">
        <v>823</v>
      </c>
      <c r="C400" s="195" t="s">
        <v>1107</v>
      </c>
      <c r="D400" s="196">
        <v>0.95</v>
      </c>
      <c r="E400" s="194" t="str">
        <f t="shared" si="6"/>
        <v>level I</v>
      </c>
    </row>
    <row r="401" spans="1:5" x14ac:dyDescent="0.15">
      <c r="A401" s="194">
        <v>3425</v>
      </c>
      <c r="B401" s="195" t="s">
        <v>823</v>
      </c>
      <c r="C401" s="195" t="s">
        <v>1108</v>
      </c>
      <c r="D401" s="196">
        <v>0.95</v>
      </c>
      <c r="E401" s="194" t="str">
        <f t="shared" si="6"/>
        <v>level I</v>
      </c>
    </row>
    <row r="402" spans="1:5" x14ac:dyDescent="0.15">
      <c r="A402" s="194">
        <v>3429</v>
      </c>
      <c r="B402" s="195" t="s">
        <v>823</v>
      </c>
      <c r="C402" s="195" t="s">
        <v>1109</v>
      </c>
      <c r="D402" s="196">
        <v>0.95</v>
      </c>
      <c r="E402" s="194" t="str">
        <f t="shared" si="6"/>
        <v>level I</v>
      </c>
    </row>
    <row r="403" spans="1:5" x14ac:dyDescent="0.15">
      <c r="A403" s="194">
        <v>3431</v>
      </c>
      <c r="B403" s="195" t="s">
        <v>823</v>
      </c>
      <c r="C403" s="195" t="s">
        <v>1110</v>
      </c>
      <c r="D403" s="196">
        <v>0.95</v>
      </c>
      <c r="E403" s="194" t="str">
        <f t="shared" si="6"/>
        <v>level I</v>
      </c>
    </row>
    <row r="404" spans="1:5" x14ac:dyDescent="0.15">
      <c r="A404" s="194">
        <v>3432</v>
      </c>
      <c r="B404" s="195" t="s">
        <v>823</v>
      </c>
      <c r="C404" s="195" t="s">
        <v>1111</v>
      </c>
      <c r="D404" s="196">
        <v>0.95</v>
      </c>
      <c r="E404" s="194" t="str">
        <f t="shared" si="6"/>
        <v>level I</v>
      </c>
    </row>
    <row r="405" spans="1:5" x14ac:dyDescent="0.15">
      <c r="A405" s="194">
        <v>3433</v>
      </c>
      <c r="B405" s="195" t="s">
        <v>823</v>
      </c>
      <c r="C405" s="195" t="s">
        <v>1112</v>
      </c>
      <c r="D405" s="196">
        <v>0.95</v>
      </c>
      <c r="E405" s="194" t="str">
        <f t="shared" si="6"/>
        <v>level I</v>
      </c>
    </row>
    <row r="406" spans="1:5" x14ac:dyDescent="0.15">
      <c r="A406" s="194">
        <v>3441</v>
      </c>
      <c r="B406" s="195" t="s">
        <v>823</v>
      </c>
      <c r="C406" s="195" t="s">
        <v>1113</v>
      </c>
      <c r="D406" s="196">
        <v>0.95</v>
      </c>
      <c r="E406" s="194" t="str">
        <f t="shared" si="6"/>
        <v>level I</v>
      </c>
    </row>
    <row r="407" spans="1:5" x14ac:dyDescent="0.15">
      <c r="A407" s="194">
        <v>3442</v>
      </c>
      <c r="B407" s="195" t="s">
        <v>823</v>
      </c>
      <c r="C407" s="195" t="s">
        <v>1114</v>
      </c>
      <c r="D407" s="196">
        <v>0.95</v>
      </c>
      <c r="E407" s="194" t="str">
        <f t="shared" si="6"/>
        <v>level I</v>
      </c>
    </row>
    <row r="408" spans="1:5" x14ac:dyDescent="0.15">
      <c r="A408" s="194">
        <v>3443</v>
      </c>
      <c r="B408" s="195" t="s">
        <v>823</v>
      </c>
      <c r="C408" s="195" t="s">
        <v>1115</v>
      </c>
      <c r="D408" s="196">
        <v>0.95</v>
      </c>
      <c r="E408" s="194" t="str">
        <f t="shared" si="6"/>
        <v>level I</v>
      </c>
    </row>
    <row r="409" spans="1:5" x14ac:dyDescent="0.15">
      <c r="A409" s="194">
        <v>3444</v>
      </c>
      <c r="B409" s="195" t="s">
        <v>823</v>
      </c>
      <c r="C409" s="195" t="s">
        <v>1116</v>
      </c>
      <c r="D409" s="196">
        <v>0.95</v>
      </c>
      <c r="E409" s="194" t="str">
        <f t="shared" si="6"/>
        <v>level I</v>
      </c>
    </row>
    <row r="410" spans="1:5" x14ac:dyDescent="0.15">
      <c r="A410" s="194">
        <v>3446</v>
      </c>
      <c r="B410" s="195" t="s">
        <v>823</v>
      </c>
      <c r="C410" s="195" t="s">
        <v>1117</v>
      </c>
      <c r="D410" s="196">
        <v>0.95</v>
      </c>
      <c r="E410" s="194" t="str">
        <f t="shared" si="6"/>
        <v>level I</v>
      </c>
    </row>
    <row r="411" spans="1:5" x14ac:dyDescent="0.15">
      <c r="A411" s="194">
        <v>3448</v>
      </c>
      <c r="B411" s="195" t="s">
        <v>823</v>
      </c>
      <c r="C411" s="195" t="s">
        <v>1118</v>
      </c>
      <c r="D411" s="196">
        <v>0.95</v>
      </c>
      <c r="E411" s="194" t="str">
        <f t="shared" si="6"/>
        <v>level I</v>
      </c>
    </row>
    <row r="412" spans="1:5" x14ac:dyDescent="0.15">
      <c r="A412" s="194">
        <v>3449</v>
      </c>
      <c r="B412" s="195" t="s">
        <v>823</v>
      </c>
      <c r="C412" s="195" t="s">
        <v>1119</v>
      </c>
      <c r="D412" s="196">
        <v>0.95</v>
      </c>
      <c r="E412" s="194" t="str">
        <f t="shared" si="6"/>
        <v>level I</v>
      </c>
    </row>
    <row r="413" spans="1:5" x14ac:dyDescent="0.15">
      <c r="A413" s="194">
        <v>3451</v>
      </c>
      <c r="B413" s="195" t="s">
        <v>823</v>
      </c>
      <c r="C413" s="195" t="s">
        <v>1120</v>
      </c>
      <c r="D413" s="196">
        <v>0.95</v>
      </c>
      <c r="E413" s="194" t="str">
        <f t="shared" si="6"/>
        <v>level I</v>
      </c>
    </row>
    <row r="414" spans="1:5" x14ac:dyDescent="0.15">
      <c r="A414" s="194">
        <v>3452</v>
      </c>
      <c r="B414" s="195" t="s">
        <v>823</v>
      </c>
      <c r="C414" s="195" t="s">
        <v>1121</v>
      </c>
      <c r="D414" s="196">
        <v>0.95</v>
      </c>
      <c r="E414" s="194" t="str">
        <f t="shared" si="6"/>
        <v>level I</v>
      </c>
    </row>
    <row r="415" spans="1:5" x14ac:dyDescent="0.15">
      <c r="A415" s="194">
        <v>3462</v>
      </c>
      <c r="B415" s="195" t="s">
        <v>823</v>
      </c>
      <c r="C415" s="195" t="s">
        <v>1122</v>
      </c>
      <c r="D415" s="196">
        <v>0.95</v>
      </c>
      <c r="E415" s="194" t="str">
        <f t="shared" si="6"/>
        <v>level I</v>
      </c>
    </row>
    <row r="416" spans="1:5" x14ac:dyDescent="0.15">
      <c r="A416" s="194">
        <v>3463</v>
      </c>
      <c r="B416" s="195" t="s">
        <v>823</v>
      </c>
      <c r="C416" s="195" t="s">
        <v>1123</v>
      </c>
      <c r="D416" s="196">
        <v>0.95</v>
      </c>
      <c r="E416" s="194" t="str">
        <f t="shared" si="6"/>
        <v>level I</v>
      </c>
    </row>
    <row r="417" spans="1:5" x14ac:dyDescent="0.15">
      <c r="A417" s="194">
        <v>3465</v>
      </c>
      <c r="B417" s="195" t="s">
        <v>823</v>
      </c>
      <c r="C417" s="195" t="s">
        <v>1124</v>
      </c>
      <c r="D417" s="196">
        <v>0.95</v>
      </c>
      <c r="E417" s="194" t="str">
        <f t="shared" si="6"/>
        <v>level I</v>
      </c>
    </row>
    <row r="418" spans="1:5" x14ac:dyDescent="0.15">
      <c r="A418" s="194">
        <v>3466</v>
      </c>
      <c r="B418" s="195" t="s">
        <v>823</v>
      </c>
      <c r="C418" s="195" t="s">
        <v>1125</v>
      </c>
      <c r="D418" s="196">
        <v>0.95</v>
      </c>
      <c r="E418" s="194" t="str">
        <f t="shared" si="6"/>
        <v>level I</v>
      </c>
    </row>
    <row r="419" spans="1:5" x14ac:dyDescent="0.15">
      <c r="A419" s="194">
        <v>3469</v>
      </c>
      <c r="B419" s="195" t="s">
        <v>823</v>
      </c>
      <c r="C419" s="195" t="s">
        <v>1126</v>
      </c>
      <c r="D419" s="196">
        <v>0.95</v>
      </c>
      <c r="E419" s="194" t="str">
        <f t="shared" si="6"/>
        <v>level I</v>
      </c>
    </row>
    <row r="420" spans="1:5" x14ac:dyDescent="0.15">
      <c r="A420" s="194">
        <v>3471</v>
      </c>
      <c r="B420" s="195" t="s">
        <v>823</v>
      </c>
      <c r="C420" s="195" t="s">
        <v>1127</v>
      </c>
      <c r="D420" s="196">
        <v>0.95</v>
      </c>
      <c r="E420" s="194" t="str">
        <f t="shared" si="6"/>
        <v>level I</v>
      </c>
    </row>
    <row r="421" spans="1:5" x14ac:dyDescent="0.15">
      <c r="A421" s="194">
        <v>3479</v>
      </c>
      <c r="B421" s="195" t="s">
        <v>823</v>
      </c>
      <c r="C421" s="195" t="s">
        <v>1128</v>
      </c>
      <c r="D421" s="196">
        <v>0.95</v>
      </c>
      <c r="E421" s="194" t="str">
        <f t="shared" si="6"/>
        <v>level I</v>
      </c>
    </row>
    <row r="422" spans="1:5" x14ac:dyDescent="0.15">
      <c r="A422" s="194">
        <v>3482</v>
      </c>
      <c r="B422" s="195" t="s">
        <v>823</v>
      </c>
      <c r="C422" s="195" t="s">
        <v>1129</v>
      </c>
      <c r="D422" s="196">
        <v>0.95</v>
      </c>
      <c r="E422" s="194" t="str">
        <f t="shared" si="6"/>
        <v>level I</v>
      </c>
    </row>
    <row r="423" spans="1:5" x14ac:dyDescent="0.15">
      <c r="A423" s="194">
        <v>3483</v>
      </c>
      <c r="B423" s="195" t="s">
        <v>823</v>
      </c>
      <c r="C423" s="195" t="s">
        <v>1130</v>
      </c>
      <c r="D423" s="196">
        <v>0.95</v>
      </c>
      <c r="E423" s="194" t="str">
        <f t="shared" si="6"/>
        <v>level I</v>
      </c>
    </row>
    <row r="424" spans="1:5" x14ac:dyDescent="0.15">
      <c r="A424" s="194">
        <v>3484</v>
      </c>
      <c r="B424" s="195" t="s">
        <v>823</v>
      </c>
      <c r="C424" s="195" t="s">
        <v>1131</v>
      </c>
      <c r="D424" s="196">
        <v>0.95</v>
      </c>
      <c r="E424" s="194" t="str">
        <f t="shared" si="6"/>
        <v>level I</v>
      </c>
    </row>
    <row r="425" spans="1:5" x14ac:dyDescent="0.15">
      <c r="A425" s="194">
        <v>3489</v>
      </c>
      <c r="B425" s="195" t="s">
        <v>823</v>
      </c>
      <c r="C425" s="195" t="s">
        <v>1132</v>
      </c>
      <c r="D425" s="196">
        <v>0.95</v>
      </c>
      <c r="E425" s="194" t="str">
        <f t="shared" si="6"/>
        <v>level I</v>
      </c>
    </row>
    <row r="426" spans="1:5" x14ac:dyDescent="0.15">
      <c r="A426" s="194">
        <v>3491</v>
      </c>
      <c r="B426" s="195" t="s">
        <v>823</v>
      </c>
      <c r="C426" s="195" t="s">
        <v>1133</v>
      </c>
      <c r="D426" s="196">
        <v>0.95</v>
      </c>
      <c r="E426" s="194" t="str">
        <f t="shared" si="6"/>
        <v>level I</v>
      </c>
    </row>
    <row r="427" spans="1:5" x14ac:dyDescent="0.15">
      <c r="A427" s="194">
        <v>3492</v>
      </c>
      <c r="B427" s="195" t="s">
        <v>823</v>
      </c>
      <c r="C427" s="195" t="s">
        <v>1134</v>
      </c>
      <c r="D427" s="196">
        <v>0.95</v>
      </c>
      <c r="E427" s="194" t="str">
        <f t="shared" si="6"/>
        <v>level I</v>
      </c>
    </row>
    <row r="428" spans="1:5" x14ac:dyDescent="0.15">
      <c r="A428" s="194">
        <v>3493</v>
      </c>
      <c r="B428" s="195" t="s">
        <v>823</v>
      </c>
      <c r="C428" s="195" t="s">
        <v>1135</v>
      </c>
      <c r="D428" s="196">
        <v>0.95</v>
      </c>
      <c r="E428" s="194" t="str">
        <f t="shared" si="6"/>
        <v>level I</v>
      </c>
    </row>
    <row r="429" spans="1:5" x14ac:dyDescent="0.15">
      <c r="A429" s="194">
        <v>3494</v>
      </c>
      <c r="B429" s="195" t="s">
        <v>823</v>
      </c>
      <c r="C429" s="195" t="s">
        <v>1136</v>
      </c>
      <c r="D429" s="196">
        <v>0.95</v>
      </c>
      <c r="E429" s="194" t="str">
        <f t="shared" si="6"/>
        <v>level I</v>
      </c>
    </row>
    <row r="430" spans="1:5" x14ac:dyDescent="0.15">
      <c r="A430" s="194">
        <v>3495</v>
      </c>
      <c r="B430" s="195" t="s">
        <v>823</v>
      </c>
      <c r="C430" s="195" t="s">
        <v>1137</v>
      </c>
      <c r="D430" s="196">
        <v>0.95</v>
      </c>
      <c r="E430" s="194" t="str">
        <f t="shared" si="6"/>
        <v>level I</v>
      </c>
    </row>
    <row r="431" spans="1:5" x14ac:dyDescent="0.15">
      <c r="A431" s="194">
        <v>3496</v>
      </c>
      <c r="B431" s="195" t="s">
        <v>823</v>
      </c>
      <c r="C431" s="195" t="s">
        <v>1138</v>
      </c>
      <c r="D431" s="196">
        <v>0.95</v>
      </c>
      <c r="E431" s="194" t="str">
        <f t="shared" si="6"/>
        <v>level I</v>
      </c>
    </row>
    <row r="432" spans="1:5" x14ac:dyDescent="0.15">
      <c r="A432" s="194">
        <v>3497</v>
      </c>
      <c r="B432" s="195" t="s">
        <v>823</v>
      </c>
      <c r="C432" s="195" t="s">
        <v>1139</v>
      </c>
      <c r="D432" s="196">
        <v>0.95</v>
      </c>
      <c r="E432" s="194" t="str">
        <f t="shared" si="6"/>
        <v>level I</v>
      </c>
    </row>
    <row r="433" spans="1:5" x14ac:dyDescent="0.15">
      <c r="A433" s="194">
        <v>3498</v>
      </c>
      <c r="B433" s="195" t="s">
        <v>823</v>
      </c>
      <c r="C433" s="195" t="s">
        <v>1140</v>
      </c>
      <c r="D433" s="196">
        <v>0.95</v>
      </c>
      <c r="E433" s="194" t="str">
        <f t="shared" si="6"/>
        <v>level I</v>
      </c>
    </row>
    <row r="434" spans="1:5" x14ac:dyDescent="0.15">
      <c r="A434" s="194">
        <v>3499</v>
      </c>
      <c r="B434" s="195" t="s">
        <v>823</v>
      </c>
      <c r="C434" s="195" t="s">
        <v>1141</v>
      </c>
      <c r="D434" s="196">
        <v>0.95</v>
      </c>
      <c r="E434" s="194" t="str">
        <f t="shared" si="6"/>
        <v>level I</v>
      </c>
    </row>
    <row r="435" spans="1:5" x14ac:dyDescent="0.15">
      <c r="A435" s="194">
        <v>3511</v>
      </c>
      <c r="B435" s="195" t="s">
        <v>823</v>
      </c>
      <c r="C435" s="195" t="s">
        <v>1142</v>
      </c>
      <c r="D435" s="196">
        <v>0.9</v>
      </c>
      <c r="E435" s="194" t="str">
        <f t="shared" si="6"/>
        <v>level 0</v>
      </c>
    </row>
    <row r="436" spans="1:5" x14ac:dyDescent="0.15">
      <c r="A436" s="194">
        <v>3519</v>
      </c>
      <c r="B436" s="195" t="s">
        <v>823</v>
      </c>
      <c r="C436" s="195" t="s">
        <v>1143</v>
      </c>
      <c r="D436" s="196">
        <v>0.9</v>
      </c>
      <c r="E436" s="194" t="str">
        <f t="shared" si="6"/>
        <v>level 0</v>
      </c>
    </row>
    <row r="437" spans="1:5" x14ac:dyDescent="0.15">
      <c r="A437" s="194">
        <v>3523</v>
      </c>
      <c r="B437" s="195" t="s">
        <v>823</v>
      </c>
      <c r="C437" s="195" t="s">
        <v>1144</v>
      </c>
      <c r="D437" s="196">
        <v>0.9</v>
      </c>
      <c r="E437" s="194" t="str">
        <f t="shared" si="6"/>
        <v>level 0</v>
      </c>
    </row>
    <row r="438" spans="1:5" x14ac:dyDescent="0.15">
      <c r="A438" s="194">
        <v>3524</v>
      </c>
      <c r="B438" s="195" t="s">
        <v>823</v>
      </c>
      <c r="C438" s="195" t="s">
        <v>1145</v>
      </c>
      <c r="D438" s="196">
        <v>0.9</v>
      </c>
      <c r="E438" s="194" t="str">
        <f t="shared" si="6"/>
        <v>level 0</v>
      </c>
    </row>
    <row r="439" spans="1:5" x14ac:dyDescent="0.15">
      <c r="A439" s="194">
        <v>3531</v>
      </c>
      <c r="B439" s="195" t="s">
        <v>823</v>
      </c>
      <c r="C439" s="195" t="s">
        <v>1146</v>
      </c>
      <c r="D439" s="196">
        <v>0.9</v>
      </c>
      <c r="E439" s="194" t="str">
        <f t="shared" si="6"/>
        <v>level 0</v>
      </c>
    </row>
    <row r="440" spans="1:5" x14ac:dyDescent="0.15">
      <c r="A440" s="194">
        <v>3532</v>
      </c>
      <c r="B440" s="195" t="s">
        <v>823</v>
      </c>
      <c r="C440" s="195" t="s">
        <v>1147</v>
      </c>
      <c r="D440" s="196">
        <v>0.9</v>
      </c>
      <c r="E440" s="194" t="str">
        <f t="shared" si="6"/>
        <v>level 0</v>
      </c>
    </row>
    <row r="441" spans="1:5" x14ac:dyDescent="0.15">
      <c r="A441" s="194">
        <v>3533</v>
      </c>
      <c r="B441" s="195" t="s">
        <v>823</v>
      </c>
      <c r="C441" s="195" t="s">
        <v>1148</v>
      </c>
      <c r="D441" s="196">
        <v>0.9</v>
      </c>
      <c r="E441" s="194" t="str">
        <f t="shared" si="6"/>
        <v>level 0</v>
      </c>
    </row>
    <row r="442" spans="1:5" x14ac:dyDescent="0.15">
      <c r="A442" s="194">
        <v>3534</v>
      </c>
      <c r="B442" s="195" t="s">
        <v>823</v>
      </c>
      <c r="C442" s="195" t="s">
        <v>1149</v>
      </c>
      <c r="D442" s="196">
        <v>0.9</v>
      </c>
      <c r="E442" s="194" t="str">
        <f t="shared" si="6"/>
        <v>level 0</v>
      </c>
    </row>
    <row r="443" spans="1:5" x14ac:dyDescent="0.15">
      <c r="A443" s="194">
        <v>3535</v>
      </c>
      <c r="B443" s="195" t="s">
        <v>823</v>
      </c>
      <c r="C443" s="195" t="s">
        <v>1150</v>
      </c>
      <c r="D443" s="196">
        <v>0.9</v>
      </c>
      <c r="E443" s="194" t="str">
        <f t="shared" si="6"/>
        <v>level 0</v>
      </c>
    </row>
    <row r="444" spans="1:5" x14ac:dyDescent="0.15">
      <c r="A444" s="194">
        <v>3536</v>
      </c>
      <c r="B444" s="195" t="s">
        <v>823</v>
      </c>
      <c r="C444" s="195" t="s">
        <v>1151</v>
      </c>
      <c r="D444" s="196">
        <v>0.9</v>
      </c>
      <c r="E444" s="194" t="str">
        <f t="shared" si="6"/>
        <v>level 0</v>
      </c>
    </row>
    <row r="445" spans="1:5" x14ac:dyDescent="0.15">
      <c r="A445" s="194">
        <v>3537</v>
      </c>
      <c r="B445" s="195" t="s">
        <v>823</v>
      </c>
      <c r="C445" s="195" t="s">
        <v>1152</v>
      </c>
      <c r="D445" s="196">
        <v>0.9</v>
      </c>
      <c r="E445" s="194" t="str">
        <f t="shared" si="6"/>
        <v>level 0</v>
      </c>
    </row>
    <row r="446" spans="1:5" x14ac:dyDescent="0.15">
      <c r="A446" s="194">
        <v>3541</v>
      </c>
      <c r="B446" s="195" t="s">
        <v>823</v>
      </c>
      <c r="C446" s="195" t="s">
        <v>1153</v>
      </c>
      <c r="D446" s="196">
        <v>0.9</v>
      </c>
      <c r="E446" s="194" t="str">
        <f t="shared" si="6"/>
        <v>level 0</v>
      </c>
    </row>
    <row r="447" spans="1:5" x14ac:dyDescent="0.15">
      <c r="A447" s="194">
        <v>3542</v>
      </c>
      <c r="B447" s="195" t="s">
        <v>823</v>
      </c>
      <c r="C447" s="195" t="s">
        <v>1154</v>
      </c>
      <c r="D447" s="196">
        <v>0.9</v>
      </c>
      <c r="E447" s="194" t="str">
        <f t="shared" si="6"/>
        <v>level 0</v>
      </c>
    </row>
    <row r="448" spans="1:5" x14ac:dyDescent="0.15">
      <c r="A448" s="194">
        <v>3543</v>
      </c>
      <c r="B448" s="195" t="s">
        <v>823</v>
      </c>
      <c r="C448" s="195" t="s">
        <v>1155</v>
      </c>
      <c r="D448" s="196">
        <v>0.9</v>
      </c>
      <c r="E448" s="194" t="str">
        <f t="shared" si="6"/>
        <v>level 0</v>
      </c>
    </row>
    <row r="449" spans="1:5" x14ac:dyDescent="0.15">
      <c r="A449" s="194">
        <v>3544</v>
      </c>
      <c r="B449" s="195" t="s">
        <v>823</v>
      </c>
      <c r="C449" s="195" t="s">
        <v>1156</v>
      </c>
      <c r="D449" s="196">
        <v>0.9</v>
      </c>
      <c r="E449" s="194" t="str">
        <f t="shared" si="6"/>
        <v>level 0</v>
      </c>
    </row>
    <row r="450" spans="1:5" x14ac:dyDescent="0.15">
      <c r="A450" s="194">
        <v>3545</v>
      </c>
      <c r="B450" s="195" t="s">
        <v>823</v>
      </c>
      <c r="C450" s="195" t="s">
        <v>1157</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823</v>
      </c>
      <c r="C451" s="195" t="s">
        <v>1158</v>
      </c>
      <c r="D451" s="196">
        <v>0.9</v>
      </c>
      <c r="E451" s="194" t="str">
        <f t="shared" si="7"/>
        <v>level 0</v>
      </c>
    </row>
    <row r="452" spans="1:5" x14ac:dyDescent="0.15">
      <c r="A452" s="194">
        <v>3547</v>
      </c>
      <c r="B452" s="195" t="s">
        <v>823</v>
      </c>
      <c r="C452" s="195" t="s">
        <v>1159</v>
      </c>
      <c r="D452" s="196">
        <v>0.9</v>
      </c>
      <c r="E452" s="194" t="str">
        <f t="shared" si="7"/>
        <v>level 0</v>
      </c>
    </row>
    <row r="453" spans="1:5" x14ac:dyDescent="0.15">
      <c r="A453" s="194">
        <v>3548</v>
      </c>
      <c r="B453" s="195" t="s">
        <v>823</v>
      </c>
      <c r="C453" s="195" t="s">
        <v>1160</v>
      </c>
      <c r="D453" s="196">
        <v>0.9</v>
      </c>
      <c r="E453" s="194" t="str">
        <f t="shared" si="7"/>
        <v>level 0</v>
      </c>
    </row>
    <row r="454" spans="1:5" x14ac:dyDescent="0.15">
      <c r="A454" s="194">
        <v>3549</v>
      </c>
      <c r="B454" s="195" t="s">
        <v>823</v>
      </c>
      <c r="C454" s="195" t="s">
        <v>1161</v>
      </c>
      <c r="D454" s="196">
        <v>0.9</v>
      </c>
      <c r="E454" s="194" t="str">
        <f t="shared" si="7"/>
        <v>level 0</v>
      </c>
    </row>
    <row r="455" spans="1:5" x14ac:dyDescent="0.15">
      <c r="A455" s="194">
        <v>3552</v>
      </c>
      <c r="B455" s="195" t="s">
        <v>823</v>
      </c>
      <c r="C455" s="195" t="s">
        <v>1162</v>
      </c>
      <c r="D455" s="196">
        <v>0.9</v>
      </c>
      <c r="E455" s="194" t="str">
        <f t="shared" si="7"/>
        <v>level 0</v>
      </c>
    </row>
    <row r="456" spans="1:5" x14ac:dyDescent="0.15">
      <c r="A456" s="194">
        <v>3553</v>
      </c>
      <c r="B456" s="195" t="s">
        <v>823</v>
      </c>
      <c r="C456" s="195" t="s">
        <v>1163</v>
      </c>
      <c r="D456" s="196">
        <v>0.9</v>
      </c>
      <c r="E456" s="194" t="str">
        <f t="shared" si="7"/>
        <v>level 0</v>
      </c>
    </row>
    <row r="457" spans="1:5" x14ac:dyDescent="0.15">
      <c r="A457" s="194">
        <v>3554</v>
      </c>
      <c r="B457" s="195" t="s">
        <v>823</v>
      </c>
      <c r="C457" s="195" t="s">
        <v>1164</v>
      </c>
      <c r="D457" s="196">
        <v>0.9</v>
      </c>
      <c r="E457" s="194" t="str">
        <f t="shared" si="7"/>
        <v>level 0</v>
      </c>
    </row>
    <row r="458" spans="1:5" x14ac:dyDescent="0.15">
      <c r="A458" s="194">
        <v>3555</v>
      </c>
      <c r="B458" s="195" t="s">
        <v>823</v>
      </c>
      <c r="C458" s="195" t="s">
        <v>1165</v>
      </c>
      <c r="D458" s="196">
        <v>0.9</v>
      </c>
      <c r="E458" s="194" t="str">
        <f t="shared" si="7"/>
        <v>level 0</v>
      </c>
    </row>
    <row r="459" spans="1:5" x14ac:dyDescent="0.15">
      <c r="A459" s="194">
        <v>3556</v>
      </c>
      <c r="B459" s="195" t="s">
        <v>823</v>
      </c>
      <c r="C459" s="195" t="s">
        <v>1166</v>
      </c>
      <c r="D459" s="196">
        <v>0.9</v>
      </c>
      <c r="E459" s="194" t="str">
        <f t="shared" si="7"/>
        <v>level 0</v>
      </c>
    </row>
    <row r="460" spans="1:5" x14ac:dyDescent="0.15">
      <c r="A460" s="194">
        <v>3559</v>
      </c>
      <c r="B460" s="195" t="s">
        <v>823</v>
      </c>
      <c r="C460" s="195" t="s">
        <v>1167</v>
      </c>
      <c r="D460" s="196">
        <v>0.9</v>
      </c>
      <c r="E460" s="194" t="str">
        <f t="shared" si="7"/>
        <v>level 0</v>
      </c>
    </row>
    <row r="461" spans="1:5" x14ac:dyDescent="0.15">
      <c r="A461" s="194">
        <v>3561</v>
      </c>
      <c r="B461" s="195" t="s">
        <v>823</v>
      </c>
      <c r="C461" s="195" t="s">
        <v>1168</v>
      </c>
      <c r="D461" s="196">
        <v>0.9</v>
      </c>
      <c r="E461" s="194" t="str">
        <f t="shared" si="7"/>
        <v>level 0</v>
      </c>
    </row>
    <row r="462" spans="1:5" x14ac:dyDescent="0.15">
      <c r="A462" s="194">
        <v>3562</v>
      </c>
      <c r="B462" s="195" t="s">
        <v>823</v>
      </c>
      <c r="C462" s="195" t="s">
        <v>1169</v>
      </c>
      <c r="D462" s="196">
        <v>0.9</v>
      </c>
      <c r="E462" s="194" t="str">
        <f t="shared" si="7"/>
        <v>level 0</v>
      </c>
    </row>
    <row r="463" spans="1:5" x14ac:dyDescent="0.15">
      <c r="A463" s="194">
        <v>3563</v>
      </c>
      <c r="B463" s="195" t="s">
        <v>823</v>
      </c>
      <c r="C463" s="195" t="s">
        <v>1170</v>
      </c>
      <c r="D463" s="196">
        <v>0.9</v>
      </c>
      <c r="E463" s="194" t="str">
        <f t="shared" si="7"/>
        <v>level 0</v>
      </c>
    </row>
    <row r="464" spans="1:5" x14ac:dyDescent="0.15">
      <c r="A464" s="194">
        <v>3564</v>
      </c>
      <c r="B464" s="195" t="s">
        <v>823</v>
      </c>
      <c r="C464" s="195" t="s">
        <v>1171</v>
      </c>
      <c r="D464" s="196">
        <v>0.9</v>
      </c>
      <c r="E464" s="194" t="str">
        <f t="shared" si="7"/>
        <v>level 0</v>
      </c>
    </row>
    <row r="465" spans="1:5" x14ac:dyDescent="0.15">
      <c r="A465" s="194">
        <v>3565</v>
      </c>
      <c r="B465" s="195" t="s">
        <v>823</v>
      </c>
      <c r="C465" s="195" t="s">
        <v>1172</v>
      </c>
      <c r="D465" s="196">
        <v>0.9</v>
      </c>
      <c r="E465" s="194" t="str">
        <f t="shared" si="7"/>
        <v>level 0</v>
      </c>
    </row>
    <row r="466" spans="1:5" x14ac:dyDescent="0.15">
      <c r="A466" s="194">
        <v>3566</v>
      </c>
      <c r="B466" s="195" t="s">
        <v>823</v>
      </c>
      <c r="C466" s="195" t="s">
        <v>1173</v>
      </c>
      <c r="D466" s="196">
        <v>0.9</v>
      </c>
      <c r="E466" s="194" t="str">
        <f t="shared" si="7"/>
        <v>level 0</v>
      </c>
    </row>
    <row r="467" spans="1:5" x14ac:dyDescent="0.15">
      <c r="A467" s="194">
        <v>3567</v>
      </c>
      <c r="B467" s="195" t="s">
        <v>823</v>
      </c>
      <c r="C467" s="195" t="s">
        <v>1174</v>
      </c>
      <c r="D467" s="196">
        <v>0.9</v>
      </c>
      <c r="E467" s="194" t="str">
        <f t="shared" si="7"/>
        <v>level 0</v>
      </c>
    </row>
    <row r="468" spans="1:5" x14ac:dyDescent="0.15">
      <c r="A468" s="194">
        <v>3568</v>
      </c>
      <c r="B468" s="195" t="s">
        <v>823</v>
      </c>
      <c r="C468" s="195" t="s">
        <v>1175</v>
      </c>
      <c r="D468" s="196">
        <v>0.9</v>
      </c>
      <c r="E468" s="194" t="str">
        <f t="shared" si="7"/>
        <v>level 0</v>
      </c>
    </row>
    <row r="469" spans="1:5" x14ac:dyDescent="0.15">
      <c r="A469" s="194">
        <v>3569</v>
      </c>
      <c r="B469" s="195" t="s">
        <v>823</v>
      </c>
      <c r="C469" s="195" t="s">
        <v>1176</v>
      </c>
      <c r="D469" s="196">
        <v>0.9</v>
      </c>
      <c r="E469" s="194" t="str">
        <f t="shared" si="7"/>
        <v>level 0</v>
      </c>
    </row>
    <row r="470" spans="1:5" x14ac:dyDescent="0.15">
      <c r="A470" s="194">
        <v>3571</v>
      </c>
      <c r="B470" s="195" t="s">
        <v>823</v>
      </c>
      <c r="C470" s="195" t="s">
        <v>1177</v>
      </c>
      <c r="D470" s="196">
        <v>0.9</v>
      </c>
      <c r="E470" s="194" t="str">
        <f t="shared" si="7"/>
        <v>level 0</v>
      </c>
    </row>
    <row r="471" spans="1:5" x14ac:dyDescent="0.15">
      <c r="A471" s="194">
        <v>3572</v>
      </c>
      <c r="B471" s="195" t="s">
        <v>823</v>
      </c>
      <c r="C471" s="195" t="s">
        <v>1178</v>
      </c>
      <c r="D471" s="196">
        <v>0.9</v>
      </c>
      <c r="E471" s="194" t="str">
        <f t="shared" si="7"/>
        <v>level 0</v>
      </c>
    </row>
    <row r="472" spans="1:5" x14ac:dyDescent="0.15">
      <c r="A472" s="194">
        <v>3575</v>
      </c>
      <c r="B472" s="195" t="s">
        <v>823</v>
      </c>
      <c r="C472" s="195" t="s">
        <v>1179</v>
      </c>
      <c r="D472" s="196">
        <v>0.9</v>
      </c>
      <c r="E472" s="194" t="str">
        <f t="shared" si="7"/>
        <v>level 0</v>
      </c>
    </row>
    <row r="473" spans="1:5" x14ac:dyDescent="0.15">
      <c r="A473" s="194">
        <v>3577</v>
      </c>
      <c r="B473" s="195" t="s">
        <v>823</v>
      </c>
      <c r="C473" s="195" t="s">
        <v>1180</v>
      </c>
      <c r="D473" s="196">
        <v>0.9</v>
      </c>
      <c r="E473" s="194" t="str">
        <f t="shared" si="7"/>
        <v>level 0</v>
      </c>
    </row>
    <row r="474" spans="1:5" x14ac:dyDescent="0.15">
      <c r="A474" s="194">
        <v>3578</v>
      </c>
      <c r="B474" s="195" t="s">
        <v>823</v>
      </c>
      <c r="C474" s="195" t="s">
        <v>1181</v>
      </c>
      <c r="D474" s="196">
        <v>0.9</v>
      </c>
      <c r="E474" s="194" t="str">
        <f t="shared" si="7"/>
        <v>level 0</v>
      </c>
    </row>
    <row r="475" spans="1:5" x14ac:dyDescent="0.15">
      <c r="A475" s="194">
        <v>3579</v>
      </c>
      <c r="B475" s="195" t="s">
        <v>823</v>
      </c>
      <c r="C475" s="195" t="s">
        <v>1182</v>
      </c>
      <c r="D475" s="196">
        <v>0.9</v>
      </c>
      <c r="E475" s="194" t="str">
        <f t="shared" si="7"/>
        <v>level 0</v>
      </c>
    </row>
    <row r="476" spans="1:5" x14ac:dyDescent="0.15">
      <c r="A476" s="194">
        <v>3581</v>
      </c>
      <c r="B476" s="195" t="s">
        <v>823</v>
      </c>
      <c r="C476" s="195" t="s">
        <v>1183</v>
      </c>
      <c r="D476" s="196">
        <v>0.9</v>
      </c>
      <c r="E476" s="194" t="str">
        <f t="shared" si="7"/>
        <v>level 0</v>
      </c>
    </row>
    <row r="477" spans="1:5" x14ac:dyDescent="0.15">
      <c r="A477" s="194">
        <v>3582</v>
      </c>
      <c r="B477" s="195" t="s">
        <v>823</v>
      </c>
      <c r="C477" s="195" t="s">
        <v>1184</v>
      </c>
      <c r="D477" s="196">
        <v>0.9</v>
      </c>
      <c r="E477" s="194" t="str">
        <f t="shared" si="7"/>
        <v>level 0</v>
      </c>
    </row>
    <row r="478" spans="1:5" x14ac:dyDescent="0.15">
      <c r="A478" s="194">
        <v>3585</v>
      </c>
      <c r="B478" s="195" t="s">
        <v>823</v>
      </c>
      <c r="C478" s="195" t="s">
        <v>1185</v>
      </c>
      <c r="D478" s="196">
        <v>0.9</v>
      </c>
      <c r="E478" s="194" t="str">
        <f t="shared" si="7"/>
        <v>level 0</v>
      </c>
    </row>
    <row r="479" spans="1:5" x14ac:dyDescent="0.15">
      <c r="A479" s="194">
        <v>3586</v>
      </c>
      <c r="B479" s="195" t="s">
        <v>823</v>
      </c>
      <c r="C479" s="195" t="s">
        <v>1186</v>
      </c>
      <c r="D479" s="196">
        <v>0.9</v>
      </c>
      <c r="E479" s="194" t="str">
        <f t="shared" si="7"/>
        <v>level 0</v>
      </c>
    </row>
    <row r="480" spans="1:5" x14ac:dyDescent="0.15">
      <c r="A480" s="194">
        <v>3589</v>
      </c>
      <c r="B480" s="195" t="s">
        <v>823</v>
      </c>
      <c r="C480" s="195" t="s">
        <v>1187</v>
      </c>
      <c r="D480" s="196">
        <v>0.9</v>
      </c>
      <c r="E480" s="194" t="str">
        <f t="shared" si="7"/>
        <v>level 0</v>
      </c>
    </row>
    <row r="481" spans="1:5" x14ac:dyDescent="0.15">
      <c r="A481" s="194">
        <v>3592</v>
      </c>
      <c r="B481" s="195" t="s">
        <v>823</v>
      </c>
      <c r="C481" s="195" t="s">
        <v>1188</v>
      </c>
      <c r="D481" s="196">
        <v>0.9</v>
      </c>
      <c r="E481" s="194" t="str">
        <f t="shared" si="7"/>
        <v>level 0</v>
      </c>
    </row>
    <row r="482" spans="1:5" x14ac:dyDescent="0.15">
      <c r="A482" s="194">
        <v>3593</v>
      </c>
      <c r="B482" s="195" t="s">
        <v>823</v>
      </c>
      <c r="C482" s="195" t="s">
        <v>1189</v>
      </c>
      <c r="D482" s="196">
        <v>0.9</v>
      </c>
      <c r="E482" s="194" t="str">
        <f t="shared" si="7"/>
        <v>level 0</v>
      </c>
    </row>
    <row r="483" spans="1:5" x14ac:dyDescent="0.15">
      <c r="A483" s="194">
        <v>3594</v>
      </c>
      <c r="B483" s="195" t="s">
        <v>823</v>
      </c>
      <c r="C483" s="195" t="s">
        <v>1190</v>
      </c>
      <c r="D483" s="196">
        <v>0.9</v>
      </c>
      <c r="E483" s="194" t="str">
        <f t="shared" si="7"/>
        <v>level 0</v>
      </c>
    </row>
    <row r="484" spans="1:5" x14ac:dyDescent="0.15">
      <c r="A484" s="194">
        <v>3596</v>
      </c>
      <c r="B484" s="195" t="s">
        <v>823</v>
      </c>
      <c r="C484" s="195" t="s">
        <v>1191</v>
      </c>
      <c r="D484" s="196">
        <v>0.9</v>
      </c>
      <c r="E484" s="194" t="str">
        <f t="shared" si="7"/>
        <v>level 0</v>
      </c>
    </row>
    <row r="485" spans="1:5" x14ac:dyDescent="0.15">
      <c r="A485" s="194">
        <v>3599</v>
      </c>
      <c r="B485" s="195" t="s">
        <v>823</v>
      </c>
      <c r="C485" s="195" t="s">
        <v>1192</v>
      </c>
      <c r="D485" s="196">
        <v>0.9</v>
      </c>
      <c r="E485" s="194" t="str">
        <f t="shared" si="7"/>
        <v>level 0</v>
      </c>
    </row>
    <row r="486" spans="1:5" x14ac:dyDescent="0.15">
      <c r="A486" s="194">
        <v>3612</v>
      </c>
      <c r="B486" s="195" t="s">
        <v>823</v>
      </c>
      <c r="C486" s="195" t="s">
        <v>1193</v>
      </c>
      <c r="D486" s="196">
        <v>0.9</v>
      </c>
      <c r="E486" s="194" t="str">
        <f t="shared" si="7"/>
        <v>level 0</v>
      </c>
    </row>
    <row r="487" spans="1:5" x14ac:dyDescent="0.15">
      <c r="A487" s="194">
        <v>3613</v>
      </c>
      <c r="B487" s="195" t="s">
        <v>823</v>
      </c>
      <c r="C487" s="195" t="s">
        <v>1194</v>
      </c>
      <c r="D487" s="196">
        <v>0.9</v>
      </c>
      <c r="E487" s="194" t="str">
        <f t="shared" si="7"/>
        <v>level 0</v>
      </c>
    </row>
    <row r="488" spans="1:5" x14ac:dyDescent="0.15">
      <c r="A488" s="194">
        <v>3621</v>
      </c>
      <c r="B488" s="195" t="s">
        <v>823</v>
      </c>
      <c r="C488" s="195" t="s">
        <v>1195</v>
      </c>
      <c r="D488" s="196">
        <v>0.9</v>
      </c>
      <c r="E488" s="194" t="str">
        <f t="shared" si="7"/>
        <v>level 0</v>
      </c>
    </row>
    <row r="489" spans="1:5" x14ac:dyDescent="0.15">
      <c r="A489" s="194">
        <v>3624</v>
      </c>
      <c r="B489" s="195" t="s">
        <v>823</v>
      </c>
      <c r="C489" s="195" t="s">
        <v>1196</v>
      </c>
      <c r="D489" s="196">
        <v>0.9</v>
      </c>
      <c r="E489" s="194" t="str">
        <f t="shared" si="7"/>
        <v>level 0</v>
      </c>
    </row>
    <row r="490" spans="1:5" x14ac:dyDescent="0.15">
      <c r="A490" s="194">
        <v>3625</v>
      </c>
      <c r="B490" s="195" t="s">
        <v>823</v>
      </c>
      <c r="C490" s="195" t="s">
        <v>1197</v>
      </c>
      <c r="D490" s="196">
        <v>0.9</v>
      </c>
      <c r="E490" s="194" t="str">
        <f t="shared" si="7"/>
        <v>level 0</v>
      </c>
    </row>
    <row r="491" spans="1:5" x14ac:dyDescent="0.15">
      <c r="A491" s="194">
        <v>3629</v>
      </c>
      <c r="B491" s="195" t="s">
        <v>823</v>
      </c>
      <c r="C491" s="195" t="s">
        <v>1198</v>
      </c>
      <c r="D491" s="196">
        <v>0.9</v>
      </c>
      <c r="E491" s="194" t="str">
        <f t="shared" si="7"/>
        <v>level 0</v>
      </c>
    </row>
    <row r="492" spans="1:5" x14ac:dyDescent="0.15">
      <c r="A492" s="194">
        <v>3631</v>
      </c>
      <c r="B492" s="195" t="s">
        <v>823</v>
      </c>
      <c r="C492" s="195" t="s">
        <v>1199</v>
      </c>
      <c r="D492" s="196">
        <v>0.9</v>
      </c>
      <c r="E492" s="194" t="str">
        <f t="shared" si="7"/>
        <v>level 0</v>
      </c>
    </row>
    <row r="493" spans="1:5" x14ac:dyDescent="0.15">
      <c r="A493" s="194">
        <v>3632</v>
      </c>
      <c r="B493" s="195" t="s">
        <v>823</v>
      </c>
      <c r="C493" s="195" t="s">
        <v>1200</v>
      </c>
      <c r="D493" s="196">
        <v>0.9</v>
      </c>
      <c r="E493" s="194" t="str">
        <f t="shared" si="7"/>
        <v>level 0</v>
      </c>
    </row>
    <row r="494" spans="1:5" x14ac:dyDescent="0.15">
      <c r="A494" s="194">
        <v>3633</v>
      </c>
      <c r="B494" s="195" t="s">
        <v>823</v>
      </c>
      <c r="C494" s="195" t="s">
        <v>1201</v>
      </c>
      <c r="D494" s="196">
        <v>0.9</v>
      </c>
      <c r="E494" s="194" t="str">
        <f t="shared" si="7"/>
        <v>level 0</v>
      </c>
    </row>
    <row r="495" spans="1:5" x14ac:dyDescent="0.15">
      <c r="A495" s="194">
        <v>3634</v>
      </c>
      <c r="B495" s="195" t="s">
        <v>823</v>
      </c>
      <c r="C495" s="195" t="s">
        <v>1202</v>
      </c>
      <c r="D495" s="196">
        <v>0.9</v>
      </c>
      <c r="E495" s="194" t="str">
        <f t="shared" si="7"/>
        <v>level 0</v>
      </c>
    </row>
    <row r="496" spans="1:5" x14ac:dyDescent="0.15">
      <c r="A496" s="194">
        <v>3635</v>
      </c>
      <c r="B496" s="195" t="s">
        <v>823</v>
      </c>
      <c r="C496" s="195" t="s">
        <v>1203</v>
      </c>
      <c r="D496" s="196">
        <v>0.9</v>
      </c>
      <c r="E496" s="194" t="str">
        <f t="shared" si="7"/>
        <v>level 0</v>
      </c>
    </row>
    <row r="497" spans="1:5" x14ac:dyDescent="0.15">
      <c r="A497" s="194">
        <v>3639</v>
      </c>
      <c r="B497" s="195" t="s">
        <v>823</v>
      </c>
      <c r="C497" s="195" t="s">
        <v>1204</v>
      </c>
      <c r="D497" s="196">
        <v>0.9</v>
      </c>
      <c r="E497" s="194" t="str">
        <f t="shared" si="7"/>
        <v>level 0</v>
      </c>
    </row>
    <row r="498" spans="1:5" x14ac:dyDescent="0.15">
      <c r="A498" s="194">
        <v>3641</v>
      </c>
      <c r="B498" s="195" t="s">
        <v>823</v>
      </c>
      <c r="C498" s="195" t="s">
        <v>1205</v>
      </c>
      <c r="D498" s="196">
        <v>0.9</v>
      </c>
      <c r="E498" s="194" t="str">
        <f t="shared" si="7"/>
        <v>level 0</v>
      </c>
    </row>
    <row r="499" spans="1:5" x14ac:dyDescent="0.15">
      <c r="A499" s="194">
        <v>3643</v>
      </c>
      <c r="B499" s="195" t="s">
        <v>823</v>
      </c>
      <c r="C499" s="195" t="s">
        <v>1206</v>
      </c>
      <c r="D499" s="196">
        <v>0.9</v>
      </c>
      <c r="E499" s="194" t="str">
        <f t="shared" si="7"/>
        <v>level 0</v>
      </c>
    </row>
    <row r="500" spans="1:5" x14ac:dyDescent="0.15">
      <c r="A500" s="194">
        <v>3644</v>
      </c>
      <c r="B500" s="195" t="s">
        <v>823</v>
      </c>
      <c r="C500" s="195" t="s">
        <v>1207</v>
      </c>
      <c r="D500" s="196">
        <v>0.9</v>
      </c>
      <c r="E500" s="194" t="str">
        <f t="shared" si="7"/>
        <v>level 0</v>
      </c>
    </row>
    <row r="501" spans="1:5" x14ac:dyDescent="0.15">
      <c r="A501" s="194">
        <v>3645</v>
      </c>
      <c r="B501" s="195" t="s">
        <v>823</v>
      </c>
      <c r="C501" s="195" t="s">
        <v>1208</v>
      </c>
      <c r="D501" s="196">
        <v>0.9</v>
      </c>
      <c r="E501" s="194" t="str">
        <f t="shared" si="7"/>
        <v>level 0</v>
      </c>
    </row>
    <row r="502" spans="1:5" x14ac:dyDescent="0.15">
      <c r="A502" s="194">
        <v>3646</v>
      </c>
      <c r="B502" s="195" t="s">
        <v>823</v>
      </c>
      <c r="C502" s="195" t="s">
        <v>1209</v>
      </c>
      <c r="D502" s="196">
        <v>0.9</v>
      </c>
      <c r="E502" s="194" t="str">
        <f t="shared" si="7"/>
        <v>level 0</v>
      </c>
    </row>
    <row r="503" spans="1:5" x14ac:dyDescent="0.15">
      <c r="A503" s="194">
        <v>3647</v>
      </c>
      <c r="B503" s="195" t="s">
        <v>823</v>
      </c>
      <c r="C503" s="195" t="s">
        <v>1210</v>
      </c>
      <c r="D503" s="196">
        <v>0.9</v>
      </c>
      <c r="E503" s="194" t="str">
        <f t="shared" si="7"/>
        <v>level 0</v>
      </c>
    </row>
    <row r="504" spans="1:5" x14ac:dyDescent="0.15">
      <c r="A504" s="194">
        <v>3648</v>
      </c>
      <c r="B504" s="195" t="s">
        <v>823</v>
      </c>
      <c r="C504" s="195" t="s">
        <v>1211</v>
      </c>
      <c r="D504" s="196">
        <v>0.9</v>
      </c>
      <c r="E504" s="194" t="str">
        <f t="shared" si="7"/>
        <v>level 0</v>
      </c>
    </row>
    <row r="505" spans="1:5" x14ac:dyDescent="0.15">
      <c r="A505" s="194">
        <v>3651</v>
      </c>
      <c r="B505" s="195" t="s">
        <v>823</v>
      </c>
      <c r="C505" s="195" t="s">
        <v>1212</v>
      </c>
      <c r="D505" s="196">
        <v>0.9</v>
      </c>
      <c r="E505" s="194" t="str">
        <f t="shared" si="7"/>
        <v>level 0</v>
      </c>
    </row>
    <row r="506" spans="1:5" x14ac:dyDescent="0.15">
      <c r="A506" s="194">
        <v>3652</v>
      </c>
      <c r="B506" s="195" t="s">
        <v>823</v>
      </c>
      <c r="C506" s="195" t="s">
        <v>1213</v>
      </c>
      <c r="D506" s="196">
        <v>0.9</v>
      </c>
      <c r="E506" s="194" t="str">
        <f t="shared" si="7"/>
        <v>level 0</v>
      </c>
    </row>
    <row r="507" spans="1:5" x14ac:dyDescent="0.15">
      <c r="A507" s="194">
        <v>3661</v>
      </c>
      <c r="B507" s="195" t="s">
        <v>823</v>
      </c>
      <c r="C507" s="195" t="s">
        <v>1214</v>
      </c>
      <c r="D507" s="196">
        <v>0.9</v>
      </c>
      <c r="E507" s="194" t="str">
        <f t="shared" si="7"/>
        <v>level 0</v>
      </c>
    </row>
    <row r="508" spans="1:5" x14ac:dyDescent="0.15">
      <c r="A508" s="194">
        <v>3663</v>
      </c>
      <c r="B508" s="195" t="s">
        <v>823</v>
      </c>
      <c r="C508" s="195" t="s">
        <v>1215</v>
      </c>
      <c r="D508" s="196">
        <v>0.9</v>
      </c>
      <c r="E508" s="194" t="str">
        <f t="shared" si="7"/>
        <v>level 0</v>
      </c>
    </row>
    <row r="509" spans="1:5" x14ac:dyDescent="0.15">
      <c r="A509" s="194">
        <v>3669</v>
      </c>
      <c r="B509" s="195" t="s">
        <v>823</v>
      </c>
      <c r="C509" s="195" t="s">
        <v>1216</v>
      </c>
      <c r="D509" s="196">
        <v>0.9</v>
      </c>
      <c r="E509" s="194" t="str">
        <f t="shared" si="7"/>
        <v>level 0</v>
      </c>
    </row>
    <row r="510" spans="1:5" x14ac:dyDescent="0.15">
      <c r="A510" s="194">
        <v>3671</v>
      </c>
      <c r="B510" s="195" t="s">
        <v>823</v>
      </c>
      <c r="C510" s="195" t="s">
        <v>1217</v>
      </c>
      <c r="D510" s="196">
        <v>0.9</v>
      </c>
      <c r="E510" s="194" t="str">
        <f t="shared" si="7"/>
        <v>level 0</v>
      </c>
    </row>
    <row r="511" spans="1:5" x14ac:dyDescent="0.15">
      <c r="A511" s="194">
        <v>3672</v>
      </c>
      <c r="B511" s="195" t="s">
        <v>823</v>
      </c>
      <c r="C511" s="195" t="s">
        <v>1218</v>
      </c>
      <c r="D511" s="196">
        <v>0.9</v>
      </c>
      <c r="E511" s="194" t="str">
        <f t="shared" si="7"/>
        <v>level 0</v>
      </c>
    </row>
    <row r="512" spans="1:5" x14ac:dyDescent="0.15">
      <c r="A512" s="194">
        <v>3674</v>
      </c>
      <c r="B512" s="195" t="s">
        <v>823</v>
      </c>
      <c r="C512" s="195" t="s">
        <v>1219</v>
      </c>
      <c r="D512" s="196">
        <v>0.9</v>
      </c>
      <c r="E512" s="194" t="str">
        <f t="shared" si="7"/>
        <v>level 0</v>
      </c>
    </row>
    <row r="513" spans="1:5" x14ac:dyDescent="0.15">
      <c r="A513" s="194">
        <v>3675</v>
      </c>
      <c r="B513" s="195" t="s">
        <v>823</v>
      </c>
      <c r="C513" s="195" t="s">
        <v>1220</v>
      </c>
      <c r="D513" s="196">
        <v>0.9</v>
      </c>
      <c r="E513" s="194" t="str">
        <f t="shared" si="7"/>
        <v>level 0</v>
      </c>
    </row>
    <row r="514" spans="1:5" x14ac:dyDescent="0.15">
      <c r="A514" s="194">
        <v>3676</v>
      </c>
      <c r="B514" s="195" t="s">
        <v>823</v>
      </c>
      <c r="C514" s="195" t="s">
        <v>1221</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823</v>
      </c>
      <c r="C515" s="195" t="s">
        <v>1222</v>
      </c>
      <c r="D515" s="196">
        <v>0.9</v>
      </c>
      <c r="E515" s="194" t="str">
        <f t="shared" si="8"/>
        <v>level 0</v>
      </c>
    </row>
    <row r="516" spans="1:5" x14ac:dyDescent="0.15">
      <c r="A516" s="194">
        <v>3678</v>
      </c>
      <c r="B516" s="195" t="s">
        <v>823</v>
      </c>
      <c r="C516" s="195" t="s">
        <v>1223</v>
      </c>
      <c r="D516" s="196">
        <v>0.9</v>
      </c>
      <c r="E516" s="194" t="str">
        <f t="shared" si="8"/>
        <v>level 0</v>
      </c>
    </row>
    <row r="517" spans="1:5" x14ac:dyDescent="0.15">
      <c r="A517" s="194">
        <v>3679</v>
      </c>
      <c r="B517" s="195" t="s">
        <v>823</v>
      </c>
      <c r="C517" s="195" t="s">
        <v>1224</v>
      </c>
      <c r="D517" s="196">
        <v>0.9</v>
      </c>
      <c r="E517" s="194" t="str">
        <f t="shared" si="8"/>
        <v>level 0</v>
      </c>
    </row>
    <row r="518" spans="1:5" x14ac:dyDescent="0.15">
      <c r="A518" s="194">
        <v>3691</v>
      </c>
      <c r="B518" s="195" t="s">
        <v>823</v>
      </c>
      <c r="C518" s="195" t="s">
        <v>1225</v>
      </c>
      <c r="D518" s="196">
        <v>0.9</v>
      </c>
      <c r="E518" s="194" t="str">
        <f t="shared" si="8"/>
        <v>level 0</v>
      </c>
    </row>
    <row r="519" spans="1:5" x14ac:dyDescent="0.15">
      <c r="A519" s="194">
        <v>3692</v>
      </c>
      <c r="B519" s="195" t="s">
        <v>823</v>
      </c>
      <c r="C519" s="195" t="s">
        <v>1226</v>
      </c>
      <c r="D519" s="196">
        <v>0.9</v>
      </c>
      <c r="E519" s="194" t="str">
        <f t="shared" si="8"/>
        <v>level 0</v>
      </c>
    </row>
    <row r="520" spans="1:5" x14ac:dyDescent="0.15">
      <c r="A520" s="194">
        <v>3694</v>
      </c>
      <c r="B520" s="195" t="s">
        <v>823</v>
      </c>
      <c r="C520" s="195" t="s">
        <v>1227</v>
      </c>
      <c r="D520" s="196">
        <v>0.9</v>
      </c>
      <c r="E520" s="194" t="str">
        <f t="shared" si="8"/>
        <v>level 0</v>
      </c>
    </row>
    <row r="521" spans="1:5" x14ac:dyDescent="0.15">
      <c r="A521" s="194">
        <v>3695</v>
      </c>
      <c r="B521" s="195" t="s">
        <v>823</v>
      </c>
      <c r="C521" s="195" t="s">
        <v>1228</v>
      </c>
      <c r="D521" s="196">
        <v>0.9</v>
      </c>
      <c r="E521" s="194" t="str">
        <f t="shared" si="8"/>
        <v>level 0</v>
      </c>
    </row>
    <row r="522" spans="1:5" x14ac:dyDescent="0.15">
      <c r="A522" s="194">
        <v>3699</v>
      </c>
      <c r="B522" s="195" t="s">
        <v>823</v>
      </c>
      <c r="C522" s="195" t="s">
        <v>1229</v>
      </c>
      <c r="D522" s="196">
        <v>0.9</v>
      </c>
      <c r="E522" s="194" t="str">
        <f t="shared" si="8"/>
        <v>level 0</v>
      </c>
    </row>
    <row r="523" spans="1:5" x14ac:dyDescent="0.15">
      <c r="A523" s="194">
        <v>3711</v>
      </c>
      <c r="B523" s="195" t="s">
        <v>823</v>
      </c>
      <c r="C523" s="195" t="s">
        <v>1230</v>
      </c>
      <c r="D523" s="196">
        <v>0.95</v>
      </c>
      <c r="E523" s="194" t="str">
        <f t="shared" si="8"/>
        <v>level I</v>
      </c>
    </row>
    <row r="524" spans="1:5" x14ac:dyDescent="0.15">
      <c r="A524" s="194">
        <v>3713</v>
      </c>
      <c r="B524" s="195" t="s">
        <v>823</v>
      </c>
      <c r="C524" s="195" t="s">
        <v>1231</v>
      </c>
      <c r="D524" s="196">
        <v>0.95</v>
      </c>
      <c r="E524" s="194" t="str">
        <f t="shared" si="8"/>
        <v>level I</v>
      </c>
    </row>
    <row r="525" spans="1:5" x14ac:dyDescent="0.15">
      <c r="A525" s="194">
        <v>3714</v>
      </c>
      <c r="B525" s="195" t="s">
        <v>823</v>
      </c>
      <c r="C525" s="195" t="s">
        <v>1232</v>
      </c>
      <c r="D525" s="196">
        <v>0.95</v>
      </c>
      <c r="E525" s="194" t="str">
        <f t="shared" si="8"/>
        <v>level I</v>
      </c>
    </row>
    <row r="526" spans="1:5" x14ac:dyDescent="0.15">
      <c r="A526" s="194">
        <v>3715</v>
      </c>
      <c r="B526" s="195" t="s">
        <v>823</v>
      </c>
      <c r="C526" s="195" t="s">
        <v>1233</v>
      </c>
      <c r="D526" s="196">
        <v>0.95</v>
      </c>
      <c r="E526" s="194" t="str">
        <f t="shared" si="8"/>
        <v>level I</v>
      </c>
    </row>
    <row r="527" spans="1:5" x14ac:dyDescent="0.15">
      <c r="A527" s="194">
        <v>3716</v>
      </c>
      <c r="B527" s="195" t="s">
        <v>823</v>
      </c>
      <c r="C527" s="195" t="s">
        <v>1234</v>
      </c>
      <c r="D527" s="196">
        <v>0.95</v>
      </c>
      <c r="E527" s="194" t="str">
        <f t="shared" si="8"/>
        <v>level I</v>
      </c>
    </row>
    <row r="528" spans="1:5" x14ac:dyDescent="0.15">
      <c r="A528" s="194">
        <v>3721</v>
      </c>
      <c r="B528" s="195" t="s">
        <v>823</v>
      </c>
      <c r="C528" s="195" t="s">
        <v>1235</v>
      </c>
      <c r="D528" s="196">
        <v>0.95</v>
      </c>
      <c r="E528" s="194" t="str">
        <f t="shared" si="8"/>
        <v>level I</v>
      </c>
    </row>
    <row r="529" spans="1:5" x14ac:dyDescent="0.15">
      <c r="A529" s="194">
        <v>3724</v>
      </c>
      <c r="B529" s="195" t="s">
        <v>823</v>
      </c>
      <c r="C529" s="195" t="s">
        <v>1236</v>
      </c>
      <c r="D529" s="196">
        <v>0.95</v>
      </c>
      <c r="E529" s="194" t="str">
        <f t="shared" si="8"/>
        <v>level I</v>
      </c>
    </row>
    <row r="530" spans="1:5" x14ac:dyDescent="0.15">
      <c r="A530" s="194">
        <v>3728</v>
      </c>
      <c r="B530" s="195" t="s">
        <v>823</v>
      </c>
      <c r="C530" s="195" t="s">
        <v>1237</v>
      </c>
      <c r="D530" s="196">
        <v>0.95</v>
      </c>
      <c r="E530" s="194" t="str">
        <f t="shared" si="8"/>
        <v>level I</v>
      </c>
    </row>
    <row r="531" spans="1:5" x14ac:dyDescent="0.15">
      <c r="A531" s="194">
        <v>3731</v>
      </c>
      <c r="B531" s="195" t="s">
        <v>823</v>
      </c>
      <c r="C531" s="195" t="s">
        <v>1238</v>
      </c>
      <c r="D531" s="196">
        <v>0.95</v>
      </c>
      <c r="E531" s="194" t="str">
        <f t="shared" si="8"/>
        <v>level I</v>
      </c>
    </row>
    <row r="532" spans="1:5" x14ac:dyDescent="0.15">
      <c r="A532" s="194">
        <v>3732</v>
      </c>
      <c r="B532" s="195" t="s">
        <v>823</v>
      </c>
      <c r="C532" s="195" t="s">
        <v>1239</v>
      </c>
      <c r="D532" s="196">
        <v>0.95</v>
      </c>
      <c r="E532" s="194" t="str">
        <f t="shared" si="8"/>
        <v>level I</v>
      </c>
    </row>
    <row r="533" spans="1:5" x14ac:dyDescent="0.15">
      <c r="A533" s="194">
        <v>3743</v>
      </c>
      <c r="B533" s="195" t="s">
        <v>823</v>
      </c>
      <c r="C533" s="195" t="s">
        <v>1240</v>
      </c>
      <c r="D533" s="196">
        <v>0.95</v>
      </c>
      <c r="E533" s="194" t="str">
        <f t="shared" si="8"/>
        <v>level I</v>
      </c>
    </row>
    <row r="534" spans="1:5" x14ac:dyDescent="0.15">
      <c r="A534" s="194">
        <v>3751</v>
      </c>
      <c r="B534" s="195" t="s">
        <v>823</v>
      </c>
      <c r="C534" s="195" t="s">
        <v>1241</v>
      </c>
      <c r="D534" s="196">
        <v>0.95</v>
      </c>
      <c r="E534" s="194" t="str">
        <f t="shared" si="8"/>
        <v>level I</v>
      </c>
    </row>
    <row r="535" spans="1:5" x14ac:dyDescent="0.15">
      <c r="A535" s="194">
        <v>3761</v>
      </c>
      <c r="B535" s="195" t="s">
        <v>823</v>
      </c>
      <c r="C535" s="195" t="s">
        <v>1242</v>
      </c>
      <c r="D535" s="196">
        <v>0.95</v>
      </c>
      <c r="E535" s="194" t="str">
        <f t="shared" si="8"/>
        <v>level I</v>
      </c>
    </row>
    <row r="536" spans="1:5" x14ac:dyDescent="0.15">
      <c r="A536" s="194">
        <v>3764</v>
      </c>
      <c r="B536" s="195" t="s">
        <v>823</v>
      </c>
      <c r="C536" s="195" t="s">
        <v>1243</v>
      </c>
      <c r="D536" s="196">
        <v>0.95</v>
      </c>
      <c r="E536" s="194" t="str">
        <f t="shared" si="8"/>
        <v>level I</v>
      </c>
    </row>
    <row r="537" spans="1:5" x14ac:dyDescent="0.15">
      <c r="A537" s="194">
        <v>3769</v>
      </c>
      <c r="B537" s="195" t="s">
        <v>823</v>
      </c>
      <c r="C537" s="195" t="s">
        <v>1244</v>
      </c>
      <c r="D537" s="196">
        <v>0.95</v>
      </c>
      <c r="E537" s="194" t="str">
        <f t="shared" si="8"/>
        <v>level I</v>
      </c>
    </row>
    <row r="538" spans="1:5" x14ac:dyDescent="0.15">
      <c r="A538" s="194">
        <v>3792</v>
      </c>
      <c r="B538" s="195" t="s">
        <v>823</v>
      </c>
      <c r="C538" s="195" t="s">
        <v>1245</v>
      </c>
      <c r="D538" s="196">
        <v>0.95</v>
      </c>
      <c r="E538" s="194" t="str">
        <f t="shared" si="8"/>
        <v>level I</v>
      </c>
    </row>
    <row r="539" spans="1:5" x14ac:dyDescent="0.15">
      <c r="A539" s="194">
        <v>3795</v>
      </c>
      <c r="B539" s="195" t="s">
        <v>823</v>
      </c>
      <c r="C539" s="195" t="s">
        <v>1246</v>
      </c>
      <c r="D539" s="196">
        <v>0.95</v>
      </c>
      <c r="E539" s="194" t="str">
        <f t="shared" si="8"/>
        <v>level I</v>
      </c>
    </row>
    <row r="540" spans="1:5" x14ac:dyDescent="0.15">
      <c r="A540" s="194">
        <v>3799</v>
      </c>
      <c r="B540" s="195" t="s">
        <v>823</v>
      </c>
      <c r="C540" s="195" t="s">
        <v>1247</v>
      </c>
      <c r="D540" s="196">
        <v>0.95</v>
      </c>
      <c r="E540" s="194" t="str">
        <f t="shared" si="8"/>
        <v>level I</v>
      </c>
    </row>
    <row r="541" spans="1:5" x14ac:dyDescent="0.15">
      <c r="A541" s="194">
        <v>3812</v>
      </c>
      <c r="B541" s="195" t="s">
        <v>823</v>
      </c>
      <c r="C541" s="195" t="s">
        <v>1248</v>
      </c>
      <c r="D541" s="196">
        <v>0.95</v>
      </c>
      <c r="E541" s="194" t="str">
        <f t="shared" si="8"/>
        <v>level I</v>
      </c>
    </row>
    <row r="542" spans="1:5" x14ac:dyDescent="0.15">
      <c r="A542" s="194">
        <v>3821</v>
      </c>
      <c r="B542" s="195" t="s">
        <v>823</v>
      </c>
      <c r="C542" s="195" t="s">
        <v>1249</v>
      </c>
      <c r="D542" s="196">
        <v>0.95</v>
      </c>
      <c r="E542" s="194" t="str">
        <f t="shared" si="8"/>
        <v>level I</v>
      </c>
    </row>
    <row r="543" spans="1:5" x14ac:dyDescent="0.15">
      <c r="A543" s="194">
        <v>3822</v>
      </c>
      <c r="B543" s="195" t="s">
        <v>823</v>
      </c>
      <c r="C543" s="195" t="s">
        <v>1250</v>
      </c>
      <c r="D543" s="196">
        <v>0.95</v>
      </c>
      <c r="E543" s="194" t="str">
        <f t="shared" si="8"/>
        <v>level I</v>
      </c>
    </row>
    <row r="544" spans="1:5" x14ac:dyDescent="0.15">
      <c r="A544" s="194">
        <v>3823</v>
      </c>
      <c r="B544" s="195" t="s">
        <v>823</v>
      </c>
      <c r="C544" s="195" t="s">
        <v>1251</v>
      </c>
      <c r="D544" s="196">
        <v>0.95</v>
      </c>
      <c r="E544" s="194" t="str">
        <f t="shared" si="8"/>
        <v>level I</v>
      </c>
    </row>
    <row r="545" spans="1:5" x14ac:dyDescent="0.15">
      <c r="A545" s="194">
        <v>3824</v>
      </c>
      <c r="B545" s="195" t="s">
        <v>823</v>
      </c>
      <c r="C545" s="195" t="s">
        <v>1252</v>
      </c>
      <c r="D545" s="196">
        <v>0.95</v>
      </c>
      <c r="E545" s="194" t="str">
        <f t="shared" si="8"/>
        <v>level I</v>
      </c>
    </row>
    <row r="546" spans="1:5" x14ac:dyDescent="0.15">
      <c r="A546" s="194">
        <v>3825</v>
      </c>
      <c r="B546" s="195" t="s">
        <v>823</v>
      </c>
      <c r="C546" s="195" t="s">
        <v>1253</v>
      </c>
      <c r="D546" s="196">
        <v>0.95</v>
      </c>
      <c r="E546" s="194" t="str">
        <f t="shared" si="8"/>
        <v>level I</v>
      </c>
    </row>
    <row r="547" spans="1:5" x14ac:dyDescent="0.15">
      <c r="A547" s="194">
        <v>3826</v>
      </c>
      <c r="B547" s="195" t="s">
        <v>823</v>
      </c>
      <c r="C547" s="195" t="s">
        <v>1254</v>
      </c>
      <c r="D547" s="196">
        <v>0.95</v>
      </c>
      <c r="E547" s="194" t="str">
        <f t="shared" si="8"/>
        <v>level I</v>
      </c>
    </row>
    <row r="548" spans="1:5" x14ac:dyDescent="0.15">
      <c r="A548" s="194">
        <v>3827</v>
      </c>
      <c r="B548" s="195" t="s">
        <v>823</v>
      </c>
      <c r="C548" s="195" t="s">
        <v>1255</v>
      </c>
      <c r="D548" s="196">
        <v>0.95</v>
      </c>
      <c r="E548" s="194" t="str">
        <f t="shared" si="8"/>
        <v>level I</v>
      </c>
    </row>
    <row r="549" spans="1:5" x14ac:dyDescent="0.15">
      <c r="A549" s="194">
        <v>3829</v>
      </c>
      <c r="B549" s="195" t="s">
        <v>823</v>
      </c>
      <c r="C549" s="195" t="s">
        <v>1256</v>
      </c>
      <c r="D549" s="196">
        <v>0.95</v>
      </c>
      <c r="E549" s="194" t="str">
        <f t="shared" si="8"/>
        <v>level I</v>
      </c>
    </row>
    <row r="550" spans="1:5" x14ac:dyDescent="0.15">
      <c r="A550" s="194">
        <v>3841</v>
      </c>
      <c r="B550" s="195" t="s">
        <v>823</v>
      </c>
      <c r="C550" s="195" t="s">
        <v>1257</v>
      </c>
      <c r="D550" s="196">
        <v>0.95</v>
      </c>
      <c r="E550" s="194" t="str">
        <f t="shared" si="8"/>
        <v>level I</v>
      </c>
    </row>
    <row r="551" spans="1:5" x14ac:dyDescent="0.15">
      <c r="A551" s="194">
        <v>3842</v>
      </c>
      <c r="B551" s="195" t="s">
        <v>823</v>
      </c>
      <c r="C551" s="195" t="s">
        <v>1258</v>
      </c>
      <c r="D551" s="196">
        <v>0.95</v>
      </c>
      <c r="E551" s="194" t="str">
        <f t="shared" si="8"/>
        <v>level I</v>
      </c>
    </row>
    <row r="552" spans="1:5" x14ac:dyDescent="0.15">
      <c r="A552" s="194">
        <v>3843</v>
      </c>
      <c r="B552" s="195" t="s">
        <v>823</v>
      </c>
      <c r="C552" s="195" t="s">
        <v>1259</v>
      </c>
      <c r="D552" s="196">
        <v>0.95</v>
      </c>
      <c r="E552" s="194" t="str">
        <f t="shared" si="8"/>
        <v>level I</v>
      </c>
    </row>
    <row r="553" spans="1:5" x14ac:dyDescent="0.15">
      <c r="A553" s="194">
        <v>3844</v>
      </c>
      <c r="B553" s="195" t="s">
        <v>823</v>
      </c>
      <c r="C553" s="195" t="s">
        <v>1260</v>
      </c>
      <c r="D553" s="196">
        <v>0.95</v>
      </c>
      <c r="E553" s="194" t="str">
        <f t="shared" si="8"/>
        <v>level I</v>
      </c>
    </row>
    <row r="554" spans="1:5" x14ac:dyDescent="0.15">
      <c r="A554" s="194">
        <v>3845</v>
      </c>
      <c r="B554" s="195" t="s">
        <v>823</v>
      </c>
      <c r="C554" s="195" t="s">
        <v>1261</v>
      </c>
      <c r="D554" s="196">
        <v>0.95</v>
      </c>
      <c r="E554" s="194" t="str">
        <f t="shared" si="8"/>
        <v>level I</v>
      </c>
    </row>
    <row r="555" spans="1:5" x14ac:dyDescent="0.15">
      <c r="A555" s="194">
        <v>3851</v>
      </c>
      <c r="B555" s="195" t="s">
        <v>823</v>
      </c>
      <c r="C555" s="195" t="s">
        <v>1262</v>
      </c>
      <c r="D555" s="196">
        <v>0.95</v>
      </c>
      <c r="E555" s="194" t="str">
        <f t="shared" si="8"/>
        <v>level I</v>
      </c>
    </row>
    <row r="556" spans="1:5" x14ac:dyDescent="0.15">
      <c r="A556" s="194">
        <v>3861</v>
      </c>
      <c r="B556" s="195" t="s">
        <v>823</v>
      </c>
      <c r="C556" s="195" t="s">
        <v>1263</v>
      </c>
      <c r="D556" s="196">
        <v>0.95</v>
      </c>
      <c r="E556" s="194" t="str">
        <f t="shared" si="8"/>
        <v>level I</v>
      </c>
    </row>
    <row r="557" spans="1:5" x14ac:dyDescent="0.15">
      <c r="A557" s="194">
        <v>3873</v>
      </c>
      <c r="B557" s="195" t="s">
        <v>823</v>
      </c>
      <c r="C557" s="195" t="s">
        <v>1264</v>
      </c>
      <c r="D557" s="196">
        <v>0.95</v>
      </c>
      <c r="E557" s="194" t="str">
        <f t="shared" si="8"/>
        <v>level I</v>
      </c>
    </row>
    <row r="558" spans="1:5" x14ac:dyDescent="0.15">
      <c r="A558" s="194">
        <v>3911</v>
      </c>
      <c r="B558" s="195" t="s">
        <v>823</v>
      </c>
      <c r="C558" s="195" t="s">
        <v>1265</v>
      </c>
      <c r="D558" s="196">
        <v>0.95</v>
      </c>
      <c r="E558" s="194" t="str">
        <f t="shared" si="8"/>
        <v>level I</v>
      </c>
    </row>
    <row r="559" spans="1:5" x14ac:dyDescent="0.15">
      <c r="A559" s="194">
        <v>3914</v>
      </c>
      <c r="B559" s="195" t="s">
        <v>823</v>
      </c>
      <c r="C559" s="195" t="s">
        <v>1266</v>
      </c>
      <c r="D559" s="196">
        <v>0.95</v>
      </c>
      <c r="E559" s="194" t="str">
        <f t="shared" si="8"/>
        <v>level I</v>
      </c>
    </row>
    <row r="560" spans="1:5" x14ac:dyDescent="0.15">
      <c r="A560" s="194">
        <v>3915</v>
      </c>
      <c r="B560" s="195" t="s">
        <v>823</v>
      </c>
      <c r="C560" s="195" t="s">
        <v>1267</v>
      </c>
      <c r="D560" s="196">
        <v>0.95</v>
      </c>
      <c r="E560" s="194" t="str">
        <f t="shared" si="8"/>
        <v>level I</v>
      </c>
    </row>
    <row r="561" spans="1:5" x14ac:dyDescent="0.15">
      <c r="A561" s="194">
        <v>3931</v>
      </c>
      <c r="B561" s="195" t="s">
        <v>823</v>
      </c>
      <c r="C561" s="195" t="s">
        <v>1268</v>
      </c>
      <c r="D561" s="196">
        <v>0.95</v>
      </c>
      <c r="E561" s="194" t="str">
        <f t="shared" si="8"/>
        <v>level I</v>
      </c>
    </row>
    <row r="562" spans="1:5" x14ac:dyDescent="0.15">
      <c r="A562" s="194">
        <v>3942</v>
      </c>
      <c r="B562" s="195" t="s">
        <v>823</v>
      </c>
      <c r="C562" s="195" t="s">
        <v>1269</v>
      </c>
      <c r="D562" s="196">
        <v>0.95</v>
      </c>
      <c r="E562" s="194" t="str">
        <f t="shared" si="8"/>
        <v>level I</v>
      </c>
    </row>
    <row r="563" spans="1:5" x14ac:dyDescent="0.15">
      <c r="A563" s="194">
        <v>3944</v>
      </c>
      <c r="B563" s="195" t="s">
        <v>823</v>
      </c>
      <c r="C563" s="195" t="s">
        <v>1270</v>
      </c>
      <c r="D563" s="196">
        <v>0.95</v>
      </c>
      <c r="E563" s="194" t="str">
        <f t="shared" si="8"/>
        <v>level I</v>
      </c>
    </row>
    <row r="564" spans="1:5" x14ac:dyDescent="0.15">
      <c r="A564" s="194">
        <v>3949</v>
      </c>
      <c r="B564" s="195" t="s">
        <v>823</v>
      </c>
      <c r="C564" s="195" t="s">
        <v>1271</v>
      </c>
      <c r="D564" s="196">
        <v>0.95</v>
      </c>
      <c r="E564" s="194" t="str">
        <f t="shared" si="8"/>
        <v>level I</v>
      </c>
    </row>
    <row r="565" spans="1:5" x14ac:dyDescent="0.15">
      <c r="A565" s="194">
        <v>3951</v>
      </c>
      <c r="B565" s="195" t="s">
        <v>823</v>
      </c>
      <c r="C565" s="195" t="s">
        <v>1272</v>
      </c>
      <c r="D565" s="196">
        <v>0.95</v>
      </c>
      <c r="E565" s="194" t="str">
        <f t="shared" si="8"/>
        <v>level I</v>
      </c>
    </row>
    <row r="566" spans="1:5" x14ac:dyDescent="0.15">
      <c r="A566" s="194">
        <v>3952</v>
      </c>
      <c r="B566" s="195" t="s">
        <v>823</v>
      </c>
      <c r="C566" s="195" t="s">
        <v>1273</v>
      </c>
      <c r="D566" s="196">
        <v>0.95</v>
      </c>
      <c r="E566" s="194" t="str">
        <f t="shared" si="8"/>
        <v>level I</v>
      </c>
    </row>
    <row r="567" spans="1:5" x14ac:dyDescent="0.15">
      <c r="A567" s="194">
        <v>3953</v>
      </c>
      <c r="B567" s="195" t="s">
        <v>823</v>
      </c>
      <c r="C567" s="195" t="s">
        <v>1274</v>
      </c>
      <c r="D567" s="196">
        <v>0.95</v>
      </c>
      <c r="E567" s="194" t="str">
        <f t="shared" si="8"/>
        <v>level I</v>
      </c>
    </row>
    <row r="568" spans="1:5" x14ac:dyDescent="0.15">
      <c r="A568" s="194">
        <v>3955</v>
      </c>
      <c r="B568" s="195" t="s">
        <v>823</v>
      </c>
      <c r="C568" s="195" t="s">
        <v>1275</v>
      </c>
      <c r="D568" s="196">
        <v>0.95</v>
      </c>
      <c r="E568" s="194" t="str">
        <f t="shared" si="8"/>
        <v>level I</v>
      </c>
    </row>
    <row r="569" spans="1:5" x14ac:dyDescent="0.15">
      <c r="A569" s="194">
        <v>3961</v>
      </c>
      <c r="B569" s="195" t="s">
        <v>823</v>
      </c>
      <c r="C569" s="195" t="s">
        <v>1276</v>
      </c>
      <c r="D569" s="196">
        <v>0.95</v>
      </c>
      <c r="E569" s="194" t="str">
        <f t="shared" si="8"/>
        <v>level I</v>
      </c>
    </row>
    <row r="570" spans="1:5" x14ac:dyDescent="0.15">
      <c r="A570" s="194">
        <v>3965</v>
      </c>
      <c r="B570" s="195" t="s">
        <v>823</v>
      </c>
      <c r="C570" s="195" t="s">
        <v>1277</v>
      </c>
      <c r="D570" s="196">
        <v>0.95</v>
      </c>
      <c r="E570" s="194" t="str">
        <f t="shared" si="8"/>
        <v>level I</v>
      </c>
    </row>
    <row r="571" spans="1:5" x14ac:dyDescent="0.15">
      <c r="A571" s="194">
        <v>3991</v>
      </c>
      <c r="B571" s="195" t="s">
        <v>823</v>
      </c>
      <c r="C571" s="195" t="s">
        <v>1278</v>
      </c>
      <c r="D571" s="196">
        <v>0.95</v>
      </c>
      <c r="E571" s="194" t="str">
        <f t="shared" si="8"/>
        <v>level I</v>
      </c>
    </row>
    <row r="572" spans="1:5" x14ac:dyDescent="0.15">
      <c r="A572" s="194">
        <v>3993</v>
      </c>
      <c r="B572" s="195" t="s">
        <v>823</v>
      </c>
      <c r="C572" s="195" t="s">
        <v>1279</v>
      </c>
      <c r="D572" s="196">
        <v>0.95</v>
      </c>
      <c r="E572" s="194" t="str">
        <f t="shared" si="8"/>
        <v>level I</v>
      </c>
    </row>
    <row r="573" spans="1:5" x14ac:dyDescent="0.15">
      <c r="A573" s="194">
        <v>3995</v>
      </c>
      <c r="B573" s="195" t="s">
        <v>823</v>
      </c>
      <c r="C573" s="195" t="s">
        <v>1280</v>
      </c>
      <c r="D573" s="196">
        <v>0.95</v>
      </c>
      <c r="E573" s="194" t="str">
        <f t="shared" si="8"/>
        <v>level I</v>
      </c>
    </row>
    <row r="574" spans="1:5" x14ac:dyDescent="0.15">
      <c r="A574" s="194">
        <v>3996</v>
      </c>
      <c r="B574" s="195" t="s">
        <v>823</v>
      </c>
      <c r="C574" s="195" t="s">
        <v>1281</v>
      </c>
      <c r="D574" s="196">
        <v>0.95</v>
      </c>
      <c r="E574" s="194" t="str">
        <f t="shared" si="8"/>
        <v>level I</v>
      </c>
    </row>
    <row r="575" spans="1:5" x14ac:dyDescent="0.15">
      <c r="A575" s="194">
        <v>3999</v>
      </c>
      <c r="B575" s="195" t="s">
        <v>823</v>
      </c>
      <c r="C575" s="195" t="s">
        <v>1282</v>
      </c>
      <c r="D575" s="196">
        <v>0.95</v>
      </c>
      <c r="E575" s="194" t="str">
        <f t="shared" si="8"/>
        <v>level I</v>
      </c>
    </row>
    <row r="576" spans="1:5" x14ac:dyDescent="0.15">
      <c r="A576" s="194">
        <v>4011</v>
      </c>
      <c r="B576" s="195" t="s">
        <v>1283</v>
      </c>
      <c r="C576" s="195" t="s">
        <v>1284</v>
      </c>
      <c r="D576" s="196">
        <v>1.1000000000000001</v>
      </c>
      <c r="E576" s="194" t="str">
        <f t="shared" si="8"/>
        <v>level IV</v>
      </c>
    </row>
    <row r="577" spans="1:5" x14ac:dyDescent="0.15">
      <c r="A577" s="194">
        <v>4013</v>
      </c>
      <c r="B577" s="195" t="s">
        <v>1283</v>
      </c>
      <c r="C577" s="195" t="s">
        <v>1285</v>
      </c>
      <c r="D577" s="196">
        <v>1.1000000000000001</v>
      </c>
      <c r="E577" s="194" t="str">
        <f t="shared" si="8"/>
        <v>level IV</v>
      </c>
    </row>
    <row r="578" spans="1:5" x14ac:dyDescent="0.15">
      <c r="A578" s="194">
        <v>4111</v>
      </c>
      <c r="B578" s="195" t="s">
        <v>1283</v>
      </c>
      <c r="C578" s="195" t="s">
        <v>1286</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1283</v>
      </c>
      <c r="C579" s="195" t="s">
        <v>1287</v>
      </c>
      <c r="D579" s="196">
        <v>1.05</v>
      </c>
      <c r="E579" s="194" t="str">
        <f t="shared" si="9"/>
        <v>level III</v>
      </c>
    </row>
    <row r="580" spans="1:5" x14ac:dyDescent="0.15">
      <c r="A580" s="194">
        <v>4121</v>
      </c>
      <c r="B580" s="195" t="s">
        <v>1283</v>
      </c>
      <c r="C580" s="195" t="s">
        <v>1288</v>
      </c>
      <c r="D580" s="196">
        <v>1.05</v>
      </c>
      <c r="E580" s="194" t="str">
        <f t="shared" si="9"/>
        <v>level III</v>
      </c>
    </row>
    <row r="581" spans="1:5" x14ac:dyDescent="0.15">
      <c r="A581" s="194">
        <v>4131</v>
      </c>
      <c r="B581" s="195" t="s">
        <v>1283</v>
      </c>
      <c r="C581" s="195" t="s">
        <v>1289</v>
      </c>
      <c r="D581" s="196">
        <v>1.1000000000000001</v>
      </c>
      <c r="E581" s="194" t="str">
        <f t="shared" si="9"/>
        <v>level IV</v>
      </c>
    </row>
    <row r="582" spans="1:5" x14ac:dyDescent="0.15">
      <c r="A582" s="194">
        <v>4141</v>
      </c>
      <c r="B582" s="195" t="s">
        <v>1283</v>
      </c>
      <c r="C582" s="195" t="s">
        <v>1290</v>
      </c>
      <c r="D582" s="196">
        <v>1.1000000000000001</v>
      </c>
      <c r="E582" s="194" t="str">
        <f t="shared" si="9"/>
        <v>level IV</v>
      </c>
    </row>
    <row r="583" spans="1:5" x14ac:dyDescent="0.15">
      <c r="A583" s="194">
        <v>4142</v>
      </c>
      <c r="B583" s="195" t="s">
        <v>1283</v>
      </c>
      <c r="C583" s="195" t="s">
        <v>1291</v>
      </c>
      <c r="D583" s="196">
        <v>1.1000000000000001</v>
      </c>
      <c r="E583" s="194" t="str">
        <f t="shared" si="9"/>
        <v>level IV</v>
      </c>
    </row>
    <row r="584" spans="1:5" x14ac:dyDescent="0.15">
      <c r="A584" s="194">
        <v>4151</v>
      </c>
      <c r="B584" s="195" t="s">
        <v>1283</v>
      </c>
      <c r="C584" s="195" t="s">
        <v>1292</v>
      </c>
      <c r="D584" s="196">
        <v>1.1000000000000001</v>
      </c>
      <c r="E584" s="194" t="str">
        <f t="shared" si="9"/>
        <v>level IV</v>
      </c>
    </row>
    <row r="585" spans="1:5" x14ac:dyDescent="0.15">
      <c r="A585" s="194">
        <v>4173</v>
      </c>
      <c r="B585" s="195" t="s">
        <v>1283</v>
      </c>
      <c r="C585" s="195" t="s">
        <v>1293</v>
      </c>
      <c r="D585" s="196">
        <v>1.1000000000000001</v>
      </c>
      <c r="E585" s="194" t="str">
        <f t="shared" si="9"/>
        <v>level IV</v>
      </c>
    </row>
    <row r="586" spans="1:5" x14ac:dyDescent="0.15">
      <c r="A586" s="194">
        <v>4212</v>
      </c>
      <c r="B586" s="195" t="s">
        <v>1283</v>
      </c>
      <c r="C586" s="195" t="s">
        <v>1294</v>
      </c>
      <c r="D586" s="196">
        <v>1.1000000000000001</v>
      </c>
      <c r="E586" s="194" t="str">
        <f t="shared" si="9"/>
        <v>level IV</v>
      </c>
    </row>
    <row r="587" spans="1:5" x14ac:dyDescent="0.15">
      <c r="A587" s="194">
        <v>4213</v>
      </c>
      <c r="B587" s="195" t="s">
        <v>1283</v>
      </c>
      <c r="C587" s="195" t="s">
        <v>1295</v>
      </c>
      <c r="D587" s="196">
        <v>1.1000000000000001</v>
      </c>
      <c r="E587" s="194" t="str">
        <f t="shared" si="9"/>
        <v>level IV</v>
      </c>
    </row>
    <row r="588" spans="1:5" x14ac:dyDescent="0.15">
      <c r="A588" s="194">
        <v>4214</v>
      </c>
      <c r="B588" s="195" t="s">
        <v>1283</v>
      </c>
      <c r="C588" s="195" t="s">
        <v>1296</v>
      </c>
      <c r="D588" s="196">
        <v>1.1000000000000001</v>
      </c>
      <c r="E588" s="194" t="str">
        <f t="shared" si="9"/>
        <v>level IV</v>
      </c>
    </row>
    <row r="589" spans="1:5" x14ac:dyDescent="0.15">
      <c r="A589" s="194">
        <v>4215</v>
      </c>
      <c r="B589" s="195" t="s">
        <v>1283</v>
      </c>
      <c r="C589" s="195" t="s">
        <v>1297</v>
      </c>
      <c r="D589" s="196">
        <v>1.1000000000000001</v>
      </c>
      <c r="E589" s="194" t="str">
        <f t="shared" si="9"/>
        <v>level IV</v>
      </c>
    </row>
    <row r="590" spans="1:5" x14ac:dyDescent="0.15">
      <c r="A590" s="194">
        <v>4221</v>
      </c>
      <c r="B590" s="195" t="s">
        <v>1283</v>
      </c>
      <c r="C590" s="195" t="s">
        <v>1298</v>
      </c>
      <c r="D590" s="196">
        <v>1.1000000000000001</v>
      </c>
      <c r="E590" s="194" t="str">
        <f t="shared" si="9"/>
        <v>level IV</v>
      </c>
    </row>
    <row r="591" spans="1:5" x14ac:dyDescent="0.15">
      <c r="A591" s="194">
        <v>4222</v>
      </c>
      <c r="B591" s="195" t="s">
        <v>1283</v>
      </c>
      <c r="C591" s="195" t="s">
        <v>1299</v>
      </c>
      <c r="D591" s="196">
        <v>1.1000000000000001</v>
      </c>
      <c r="E591" s="194" t="str">
        <f t="shared" si="9"/>
        <v>level IV</v>
      </c>
    </row>
    <row r="592" spans="1:5" x14ac:dyDescent="0.15">
      <c r="A592" s="194">
        <v>4225</v>
      </c>
      <c r="B592" s="195" t="s">
        <v>1283</v>
      </c>
      <c r="C592" s="195" t="s">
        <v>1300</v>
      </c>
      <c r="D592" s="196">
        <v>1.1000000000000001</v>
      </c>
      <c r="E592" s="194" t="str">
        <f t="shared" si="9"/>
        <v>level IV</v>
      </c>
    </row>
    <row r="593" spans="1:5" x14ac:dyDescent="0.15">
      <c r="A593" s="194">
        <v>4226</v>
      </c>
      <c r="B593" s="195" t="s">
        <v>1283</v>
      </c>
      <c r="C593" s="195" t="s">
        <v>1301</v>
      </c>
      <c r="D593" s="196">
        <v>1.1000000000000001</v>
      </c>
      <c r="E593" s="194" t="str">
        <f t="shared" si="9"/>
        <v>level IV</v>
      </c>
    </row>
    <row r="594" spans="1:5" x14ac:dyDescent="0.15">
      <c r="A594" s="194">
        <v>4231</v>
      </c>
      <c r="B594" s="195" t="s">
        <v>1283</v>
      </c>
      <c r="C594" s="195" t="s">
        <v>1302</v>
      </c>
      <c r="D594" s="196">
        <v>1.1000000000000001</v>
      </c>
      <c r="E594" s="194" t="str">
        <f t="shared" si="9"/>
        <v>level IV</v>
      </c>
    </row>
    <row r="595" spans="1:5" x14ac:dyDescent="0.15">
      <c r="A595" s="194">
        <v>4311</v>
      </c>
      <c r="B595" s="195" t="s">
        <v>1283</v>
      </c>
      <c r="C595" s="195" t="s">
        <v>1303</v>
      </c>
      <c r="D595" s="196">
        <v>1</v>
      </c>
      <c r="E595" s="194" t="str">
        <f t="shared" si="9"/>
        <v>level II</v>
      </c>
    </row>
    <row r="596" spans="1:5" x14ac:dyDescent="0.15">
      <c r="A596" s="194">
        <v>4412</v>
      </c>
      <c r="B596" s="195" t="s">
        <v>1283</v>
      </c>
      <c r="C596" s="195" t="s">
        <v>1304</v>
      </c>
      <c r="D596" s="196">
        <v>1.05</v>
      </c>
      <c r="E596" s="194" t="str">
        <f t="shared" si="9"/>
        <v>level III</v>
      </c>
    </row>
    <row r="597" spans="1:5" x14ac:dyDescent="0.15">
      <c r="A597" s="194">
        <v>4421</v>
      </c>
      <c r="B597" s="195" t="s">
        <v>1283</v>
      </c>
      <c r="C597" s="195" t="s">
        <v>1305</v>
      </c>
      <c r="D597" s="196">
        <v>1.05</v>
      </c>
      <c r="E597" s="194" t="str">
        <f t="shared" si="9"/>
        <v>level III</v>
      </c>
    </row>
    <row r="598" spans="1:5" x14ac:dyDescent="0.15">
      <c r="A598" s="194">
        <v>4432</v>
      </c>
      <c r="B598" s="195" t="s">
        <v>1283</v>
      </c>
      <c r="C598" s="195" t="s">
        <v>1306</v>
      </c>
      <c r="D598" s="196">
        <v>1.05</v>
      </c>
      <c r="E598" s="194" t="str">
        <f t="shared" si="9"/>
        <v>level III</v>
      </c>
    </row>
    <row r="599" spans="1:5" x14ac:dyDescent="0.15">
      <c r="A599" s="194">
        <v>4449</v>
      </c>
      <c r="B599" s="195" t="s">
        <v>1283</v>
      </c>
      <c r="C599" s="195" t="s">
        <v>1307</v>
      </c>
      <c r="D599" s="196">
        <v>1.05</v>
      </c>
      <c r="E599" s="194" t="str">
        <f t="shared" si="9"/>
        <v>level III</v>
      </c>
    </row>
    <row r="600" spans="1:5" x14ac:dyDescent="0.15">
      <c r="A600" s="194">
        <v>4481</v>
      </c>
      <c r="B600" s="195" t="s">
        <v>1283</v>
      </c>
      <c r="C600" s="195" t="s">
        <v>1308</v>
      </c>
      <c r="D600" s="196">
        <v>1.05</v>
      </c>
      <c r="E600" s="194" t="str">
        <f t="shared" si="9"/>
        <v>level III</v>
      </c>
    </row>
    <row r="601" spans="1:5" x14ac:dyDescent="0.15">
      <c r="A601" s="194">
        <v>4482</v>
      </c>
      <c r="B601" s="195" t="s">
        <v>1283</v>
      </c>
      <c r="C601" s="195" t="s">
        <v>1309</v>
      </c>
      <c r="D601" s="196">
        <v>1.05</v>
      </c>
      <c r="E601" s="194" t="str">
        <f t="shared" si="9"/>
        <v>level III</v>
      </c>
    </row>
    <row r="602" spans="1:5" x14ac:dyDescent="0.15">
      <c r="A602" s="194">
        <v>4489</v>
      </c>
      <c r="B602" s="195" t="s">
        <v>1283</v>
      </c>
      <c r="C602" s="195" t="s">
        <v>1310</v>
      </c>
      <c r="D602" s="196">
        <v>1.05</v>
      </c>
      <c r="E602" s="194" t="str">
        <f t="shared" si="9"/>
        <v>level III</v>
      </c>
    </row>
    <row r="603" spans="1:5" x14ac:dyDescent="0.15">
      <c r="A603" s="194">
        <v>4491</v>
      </c>
      <c r="B603" s="195" t="s">
        <v>1283</v>
      </c>
      <c r="C603" s="195" t="s">
        <v>1311</v>
      </c>
      <c r="D603" s="196">
        <v>1.05</v>
      </c>
      <c r="E603" s="194" t="str">
        <f t="shared" si="9"/>
        <v>level III</v>
      </c>
    </row>
    <row r="604" spans="1:5" x14ac:dyDescent="0.15">
      <c r="A604" s="194">
        <v>4492</v>
      </c>
      <c r="B604" s="195" t="s">
        <v>1283</v>
      </c>
      <c r="C604" s="195" t="s">
        <v>1312</v>
      </c>
      <c r="D604" s="196">
        <v>1.05</v>
      </c>
      <c r="E604" s="194" t="str">
        <f t="shared" si="9"/>
        <v>level III</v>
      </c>
    </row>
    <row r="605" spans="1:5" x14ac:dyDescent="0.15">
      <c r="A605" s="194">
        <v>4493</v>
      </c>
      <c r="B605" s="195" t="s">
        <v>1283</v>
      </c>
      <c r="C605" s="195" t="s">
        <v>1313</v>
      </c>
      <c r="D605" s="196">
        <v>1.05</v>
      </c>
      <c r="E605" s="194" t="str">
        <f t="shared" si="9"/>
        <v>level III</v>
      </c>
    </row>
    <row r="606" spans="1:5" x14ac:dyDescent="0.15">
      <c r="A606" s="194">
        <v>4499</v>
      </c>
      <c r="B606" s="195" t="s">
        <v>1283</v>
      </c>
      <c r="C606" s="195" t="s">
        <v>1314</v>
      </c>
      <c r="D606" s="196">
        <v>1.05</v>
      </c>
      <c r="E606" s="194" t="str">
        <f t="shared" si="9"/>
        <v>level III</v>
      </c>
    </row>
    <row r="607" spans="1:5" x14ac:dyDescent="0.15">
      <c r="A607" s="194">
        <v>4512</v>
      </c>
      <c r="B607" s="195" t="s">
        <v>1283</v>
      </c>
      <c r="C607" s="195" t="s">
        <v>1315</v>
      </c>
      <c r="D607" s="196">
        <v>1</v>
      </c>
      <c r="E607" s="194" t="str">
        <f t="shared" si="9"/>
        <v>level II</v>
      </c>
    </row>
    <row r="608" spans="1:5" x14ac:dyDescent="0.15">
      <c r="A608" s="194">
        <v>4513</v>
      </c>
      <c r="B608" s="195" t="s">
        <v>1283</v>
      </c>
      <c r="C608" s="195" t="s">
        <v>1316</v>
      </c>
      <c r="D608" s="196">
        <v>1</v>
      </c>
      <c r="E608" s="194" t="str">
        <f t="shared" si="9"/>
        <v>level II</v>
      </c>
    </row>
    <row r="609" spans="1:5" x14ac:dyDescent="0.15">
      <c r="A609" s="194">
        <v>4522</v>
      </c>
      <c r="B609" s="195" t="s">
        <v>1283</v>
      </c>
      <c r="C609" s="195" t="s">
        <v>1317</v>
      </c>
      <c r="D609" s="196">
        <v>1</v>
      </c>
      <c r="E609" s="194" t="str">
        <f t="shared" si="9"/>
        <v>level II</v>
      </c>
    </row>
    <row r="610" spans="1:5" x14ac:dyDescent="0.15">
      <c r="A610" s="194">
        <v>4581</v>
      </c>
      <c r="B610" s="195" t="s">
        <v>1283</v>
      </c>
      <c r="C610" s="195" t="s">
        <v>1318</v>
      </c>
      <c r="D610" s="196">
        <v>1</v>
      </c>
      <c r="E610" s="194" t="str">
        <f t="shared" si="9"/>
        <v>level II</v>
      </c>
    </row>
    <row r="611" spans="1:5" x14ac:dyDescent="0.15">
      <c r="A611" s="194">
        <v>4612</v>
      </c>
      <c r="B611" s="195" t="s">
        <v>1283</v>
      </c>
      <c r="C611" s="195" t="s">
        <v>1319</v>
      </c>
      <c r="D611" s="196">
        <v>1</v>
      </c>
      <c r="E611" s="194" t="str">
        <f t="shared" si="9"/>
        <v>level II</v>
      </c>
    </row>
    <row r="612" spans="1:5" x14ac:dyDescent="0.15">
      <c r="A612" s="194">
        <v>4613</v>
      </c>
      <c r="B612" s="195" t="s">
        <v>1283</v>
      </c>
      <c r="C612" s="195" t="s">
        <v>1320</v>
      </c>
      <c r="D612" s="196">
        <v>1</v>
      </c>
      <c r="E612" s="194" t="str">
        <f t="shared" si="9"/>
        <v>level II</v>
      </c>
    </row>
    <row r="613" spans="1:5" x14ac:dyDescent="0.15">
      <c r="A613" s="194">
        <v>4619</v>
      </c>
      <c r="B613" s="195" t="s">
        <v>1283</v>
      </c>
      <c r="C613" s="195" t="s">
        <v>1321</v>
      </c>
      <c r="D613" s="196">
        <v>1</v>
      </c>
      <c r="E613" s="194" t="str">
        <f t="shared" si="9"/>
        <v>level II</v>
      </c>
    </row>
    <row r="614" spans="1:5" x14ac:dyDescent="0.15">
      <c r="A614" s="194">
        <v>4724</v>
      </c>
      <c r="B614" s="195" t="s">
        <v>1283</v>
      </c>
      <c r="C614" s="195" t="s">
        <v>1322</v>
      </c>
      <c r="D614" s="196">
        <v>1</v>
      </c>
      <c r="E614" s="194" t="str">
        <f t="shared" si="9"/>
        <v>level II</v>
      </c>
    </row>
    <row r="615" spans="1:5" x14ac:dyDescent="0.15">
      <c r="A615" s="194">
        <v>4725</v>
      </c>
      <c r="B615" s="195" t="s">
        <v>1283</v>
      </c>
      <c r="C615" s="195" t="s">
        <v>1323</v>
      </c>
      <c r="D615" s="196">
        <v>1</v>
      </c>
      <c r="E615" s="194" t="str">
        <f t="shared" si="9"/>
        <v>level II</v>
      </c>
    </row>
    <row r="616" spans="1:5" x14ac:dyDescent="0.15">
      <c r="A616" s="194">
        <v>4729</v>
      </c>
      <c r="B616" s="195" t="s">
        <v>1283</v>
      </c>
      <c r="C616" s="195" t="s">
        <v>1324</v>
      </c>
      <c r="D616" s="196">
        <v>1</v>
      </c>
      <c r="E616" s="194" t="str">
        <f t="shared" si="9"/>
        <v>level II</v>
      </c>
    </row>
    <row r="617" spans="1:5" x14ac:dyDescent="0.15">
      <c r="A617" s="194">
        <v>4731</v>
      </c>
      <c r="B617" s="195" t="s">
        <v>1283</v>
      </c>
      <c r="C617" s="195" t="s">
        <v>1325</v>
      </c>
      <c r="D617" s="196">
        <v>1</v>
      </c>
      <c r="E617" s="194" t="str">
        <f t="shared" si="9"/>
        <v>level II</v>
      </c>
    </row>
    <row r="618" spans="1:5" x14ac:dyDescent="0.15">
      <c r="A618" s="194">
        <v>4741</v>
      </c>
      <c r="B618" s="195" t="s">
        <v>1283</v>
      </c>
      <c r="C618" s="195" t="s">
        <v>1326</v>
      </c>
      <c r="D618" s="196">
        <v>1</v>
      </c>
      <c r="E618" s="194" t="str">
        <f t="shared" si="9"/>
        <v>level II</v>
      </c>
    </row>
    <row r="619" spans="1:5" x14ac:dyDescent="0.15">
      <c r="A619" s="194">
        <v>4783</v>
      </c>
      <c r="B619" s="195" t="s">
        <v>1283</v>
      </c>
      <c r="C619" s="195" t="s">
        <v>1327</v>
      </c>
      <c r="D619" s="196">
        <v>1</v>
      </c>
      <c r="E619" s="194" t="str">
        <f t="shared" si="9"/>
        <v>level II</v>
      </c>
    </row>
    <row r="620" spans="1:5" x14ac:dyDescent="0.15">
      <c r="A620" s="194">
        <v>4785</v>
      </c>
      <c r="B620" s="195" t="s">
        <v>1283</v>
      </c>
      <c r="C620" s="195" t="s">
        <v>1328</v>
      </c>
      <c r="D620" s="196">
        <v>1</v>
      </c>
      <c r="E620" s="194" t="str">
        <f t="shared" si="9"/>
        <v>level II</v>
      </c>
    </row>
    <row r="621" spans="1:5" x14ac:dyDescent="0.15">
      <c r="A621" s="194">
        <v>4789</v>
      </c>
      <c r="B621" s="195" t="s">
        <v>1283</v>
      </c>
      <c r="C621" s="195" t="s">
        <v>1329</v>
      </c>
      <c r="D621" s="196">
        <v>1</v>
      </c>
      <c r="E621" s="194" t="str">
        <f t="shared" si="9"/>
        <v>level II</v>
      </c>
    </row>
    <row r="622" spans="1:5" x14ac:dyDescent="0.15">
      <c r="A622" s="194">
        <v>4812</v>
      </c>
      <c r="B622" s="195" t="s">
        <v>1283</v>
      </c>
      <c r="C622" s="195" t="s">
        <v>1330</v>
      </c>
      <c r="D622" s="196">
        <v>0.95</v>
      </c>
      <c r="E622" s="194" t="str">
        <f t="shared" si="9"/>
        <v>level I</v>
      </c>
    </row>
    <row r="623" spans="1:5" x14ac:dyDescent="0.15">
      <c r="A623" s="194">
        <v>4813</v>
      </c>
      <c r="B623" s="195" t="s">
        <v>1283</v>
      </c>
      <c r="C623" s="195" t="s">
        <v>1331</v>
      </c>
      <c r="D623" s="196">
        <v>0.95</v>
      </c>
      <c r="E623" s="194" t="str">
        <f t="shared" si="9"/>
        <v>level I</v>
      </c>
    </row>
    <row r="624" spans="1:5" x14ac:dyDescent="0.15">
      <c r="A624" s="194">
        <v>4822</v>
      </c>
      <c r="B624" s="195" t="s">
        <v>1283</v>
      </c>
      <c r="C624" s="195" t="s">
        <v>1332</v>
      </c>
      <c r="D624" s="196">
        <v>0.95</v>
      </c>
      <c r="E624" s="194" t="str">
        <f t="shared" si="9"/>
        <v>level I</v>
      </c>
    </row>
    <row r="625" spans="1:5" x14ac:dyDescent="0.15">
      <c r="A625" s="194">
        <v>4832</v>
      </c>
      <c r="B625" s="195" t="s">
        <v>1283</v>
      </c>
      <c r="C625" s="195" t="s">
        <v>1333</v>
      </c>
      <c r="D625" s="196">
        <v>0.95</v>
      </c>
      <c r="E625" s="194" t="str">
        <f t="shared" si="9"/>
        <v>level I</v>
      </c>
    </row>
    <row r="626" spans="1:5" x14ac:dyDescent="0.15">
      <c r="A626" s="194">
        <v>4833</v>
      </c>
      <c r="B626" s="195" t="s">
        <v>1283</v>
      </c>
      <c r="C626" s="195" t="s">
        <v>1334</v>
      </c>
      <c r="D626" s="196">
        <v>0.95</v>
      </c>
      <c r="E626" s="194" t="str">
        <f t="shared" si="9"/>
        <v>level I</v>
      </c>
    </row>
    <row r="627" spans="1:5" x14ac:dyDescent="0.15">
      <c r="A627" s="194">
        <v>4841</v>
      </c>
      <c r="B627" s="195" t="s">
        <v>1283</v>
      </c>
      <c r="C627" s="195" t="s">
        <v>1335</v>
      </c>
      <c r="D627" s="196">
        <v>0.95</v>
      </c>
      <c r="E627" s="194" t="str">
        <f t="shared" si="9"/>
        <v>level I</v>
      </c>
    </row>
    <row r="628" spans="1:5" x14ac:dyDescent="0.15">
      <c r="A628" s="194">
        <v>4899</v>
      </c>
      <c r="B628" s="195" t="s">
        <v>1283</v>
      </c>
      <c r="C628" s="195" t="s">
        <v>1336</v>
      </c>
      <c r="D628" s="196">
        <v>0.95</v>
      </c>
      <c r="E628" s="194" t="str">
        <f t="shared" si="9"/>
        <v>level I</v>
      </c>
    </row>
    <row r="629" spans="1:5" x14ac:dyDescent="0.15">
      <c r="A629" s="194">
        <v>4911</v>
      </c>
      <c r="B629" s="195" t="s">
        <v>1283</v>
      </c>
      <c r="C629" s="195" t="s">
        <v>1337</v>
      </c>
      <c r="D629" s="196">
        <v>1</v>
      </c>
      <c r="E629" s="194" t="str">
        <f t="shared" si="9"/>
        <v>level II</v>
      </c>
    </row>
    <row r="630" spans="1:5" x14ac:dyDescent="0.15">
      <c r="A630" s="194">
        <v>4922</v>
      </c>
      <c r="B630" s="195" t="s">
        <v>1283</v>
      </c>
      <c r="C630" s="195" t="s">
        <v>1338</v>
      </c>
      <c r="D630" s="196">
        <v>1</v>
      </c>
      <c r="E630" s="194" t="str">
        <f t="shared" si="9"/>
        <v>level II</v>
      </c>
    </row>
    <row r="631" spans="1:5" x14ac:dyDescent="0.15">
      <c r="A631" s="194">
        <v>4923</v>
      </c>
      <c r="B631" s="195" t="s">
        <v>1283</v>
      </c>
      <c r="C631" s="195" t="s">
        <v>1339</v>
      </c>
      <c r="D631" s="196">
        <v>1</v>
      </c>
      <c r="E631" s="194" t="str">
        <f t="shared" si="9"/>
        <v>level II</v>
      </c>
    </row>
    <row r="632" spans="1:5" x14ac:dyDescent="0.15">
      <c r="A632" s="194">
        <v>4924</v>
      </c>
      <c r="B632" s="195" t="s">
        <v>1283</v>
      </c>
      <c r="C632" s="195" t="s">
        <v>1340</v>
      </c>
      <c r="D632" s="196">
        <v>1</v>
      </c>
      <c r="E632" s="194" t="str">
        <f t="shared" si="9"/>
        <v>level II</v>
      </c>
    </row>
    <row r="633" spans="1:5" x14ac:dyDescent="0.15">
      <c r="A633" s="194">
        <v>4925</v>
      </c>
      <c r="B633" s="195" t="s">
        <v>1283</v>
      </c>
      <c r="C633" s="195" t="s">
        <v>1341</v>
      </c>
      <c r="D633" s="196">
        <v>1</v>
      </c>
      <c r="E633" s="194" t="str">
        <f t="shared" si="9"/>
        <v>level II</v>
      </c>
    </row>
    <row r="634" spans="1:5" x14ac:dyDescent="0.15">
      <c r="A634" s="194">
        <v>4931</v>
      </c>
      <c r="B634" s="195" t="s">
        <v>1283</v>
      </c>
      <c r="C634" s="195" t="s">
        <v>1342</v>
      </c>
      <c r="D634" s="196">
        <v>1</v>
      </c>
      <c r="E634" s="194" t="str">
        <f t="shared" si="9"/>
        <v>level II</v>
      </c>
    </row>
    <row r="635" spans="1:5" x14ac:dyDescent="0.15">
      <c r="A635" s="194">
        <v>4932</v>
      </c>
      <c r="B635" s="195" t="s">
        <v>1283</v>
      </c>
      <c r="C635" s="195" t="s">
        <v>1343</v>
      </c>
      <c r="D635" s="196">
        <v>1</v>
      </c>
      <c r="E635" s="194" t="str">
        <f t="shared" si="9"/>
        <v>level II</v>
      </c>
    </row>
    <row r="636" spans="1:5" x14ac:dyDescent="0.15">
      <c r="A636" s="194">
        <v>4939</v>
      </c>
      <c r="B636" s="195" t="s">
        <v>1283</v>
      </c>
      <c r="C636" s="195" t="s">
        <v>1344</v>
      </c>
      <c r="D636" s="196">
        <v>1</v>
      </c>
      <c r="E636" s="194" t="str">
        <f t="shared" si="9"/>
        <v>level II</v>
      </c>
    </row>
    <row r="637" spans="1:5" x14ac:dyDescent="0.15">
      <c r="A637" s="194">
        <v>4941</v>
      </c>
      <c r="B637" s="195" t="s">
        <v>1283</v>
      </c>
      <c r="C637" s="195" t="s">
        <v>1345</v>
      </c>
      <c r="D637" s="196">
        <v>1</v>
      </c>
      <c r="E637" s="194" t="str">
        <f t="shared" si="9"/>
        <v>level II</v>
      </c>
    </row>
    <row r="638" spans="1:5" x14ac:dyDescent="0.15">
      <c r="A638" s="194">
        <v>4952</v>
      </c>
      <c r="B638" s="195" t="s">
        <v>1283</v>
      </c>
      <c r="C638" s="195" t="s">
        <v>1346</v>
      </c>
      <c r="D638" s="196">
        <v>1</v>
      </c>
      <c r="E638" s="194" t="str">
        <f t="shared" si="9"/>
        <v>level II</v>
      </c>
    </row>
    <row r="639" spans="1:5" x14ac:dyDescent="0.15">
      <c r="A639" s="194">
        <v>4953</v>
      </c>
      <c r="B639" s="195" t="s">
        <v>1283</v>
      </c>
      <c r="C639" s="195" t="s">
        <v>1347</v>
      </c>
      <c r="D639" s="196">
        <v>1</v>
      </c>
      <c r="E639" s="194" t="str">
        <f t="shared" si="9"/>
        <v>level II</v>
      </c>
    </row>
    <row r="640" spans="1:5" x14ac:dyDescent="0.15">
      <c r="A640" s="194">
        <v>4959</v>
      </c>
      <c r="B640" s="195" t="s">
        <v>1283</v>
      </c>
      <c r="C640" s="195" t="s">
        <v>1348</v>
      </c>
      <c r="D640" s="196">
        <v>1</v>
      </c>
      <c r="E640" s="194" t="str">
        <f t="shared" si="9"/>
        <v>level II</v>
      </c>
    </row>
    <row r="641" spans="1:5" x14ac:dyDescent="0.15">
      <c r="A641" s="194">
        <v>4961</v>
      </c>
      <c r="B641" s="195" t="s">
        <v>1283</v>
      </c>
      <c r="C641" s="195" t="s">
        <v>1349</v>
      </c>
      <c r="D641" s="196">
        <v>1</v>
      </c>
      <c r="E641" s="194" t="str">
        <f t="shared" si="9"/>
        <v>level II</v>
      </c>
    </row>
    <row r="642" spans="1:5" x14ac:dyDescent="0.15">
      <c r="A642" s="194">
        <v>4971</v>
      </c>
      <c r="B642" s="195" t="s">
        <v>1283</v>
      </c>
      <c r="C642" s="195" t="s">
        <v>1350</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1351</v>
      </c>
      <c r="C643" s="195" t="s">
        <v>1352</v>
      </c>
      <c r="D643" s="196">
        <v>1</v>
      </c>
      <c r="E643" s="194" t="str">
        <f t="shared" si="10"/>
        <v>level II</v>
      </c>
    </row>
    <row r="644" spans="1:5" x14ac:dyDescent="0.15">
      <c r="A644" s="194">
        <v>5013</v>
      </c>
      <c r="B644" s="195" t="s">
        <v>1351</v>
      </c>
      <c r="C644" s="195" t="s">
        <v>1353</v>
      </c>
      <c r="D644" s="196">
        <v>1</v>
      </c>
      <c r="E644" s="194" t="str">
        <f t="shared" si="10"/>
        <v>level II</v>
      </c>
    </row>
    <row r="645" spans="1:5" x14ac:dyDescent="0.15">
      <c r="A645" s="194">
        <v>5014</v>
      </c>
      <c r="B645" s="195" t="s">
        <v>1351</v>
      </c>
      <c r="C645" s="195" t="s">
        <v>1354</v>
      </c>
      <c r="D645" s="196">
        <v>1</v>
      </c>
      <c r="E645" s="194" t="str">
        <f t="shared" si="10"/>
        <v>level II</v>
      </c>
    </row>
    <row r="646" spans="1:5" x14ac:dyDescent="0.15">
      <c r="A646" s="194">
        <v>5015</v>
      </c>
      <c r="B646" s="195" t="s">
        <v>1351</v>
      </c>
      <c r="C646" s="195" t="s">
        <v>1355</v>
      </c>
      <c r="D646" s="196">
        <v>1</v>
      </c>
      <c r="E646" s="194" t="str">
        <f t="shared" si="10"/>
        <v>level II</v>
      </c>
    </row>
    <row r="647" spans="1:5" x14ac:dyDescent="0.15">
      <c r="A647" s="194">
        <v>5021</v>
      </c>
      <c r="B647" s="195" t="s">
        <v>1351</v>
      </c>
      <c r="C647" s="195" t="s">
        <v>1356</v>
      </c>
      <c r="D647" s="196">
        <v>1</v>
      </c>
      <c r="E647" s="194" t="str">
        <f t="shared" si="10"/>
        <v>level II</v>
      </c>
    </row>
    <row r="648" spans="1:5" x14ac:dyDescent="0.15">
      <c r="A648" s="194">
        <v>5023</v>
      </c>
      <c r="B648" s="195" t="s">
        <v>1351</v>
      </c>
      <c r="C648" s="195" t="s">
        <v>1357</v>
      </c>
      <c r="D648" s="196">
        <v>1</v>
      </c>
      <c r="E648" s="194" t="str">
        <f t="shared" si="10"/>
        <v>level II</v>
      </c>
    </row>
    <row r="649" spans="1:5" x14ac:dyDescent="0.15">
      <c r="A649" s="194">
        <v>5031</v>
      </c>
      <c r="B649" s="195" t="s">
        <v>1351</v>
      </c>
      <c r="C649" s="195" t="s">
        <v>1358</v>
      </c>
      <c r="D649" s="196">
        <v>1</v>
      </c>
      <c r="E649" s="194" t="str">
        <f t="shared" si="10"/>
        <v>level II</v>
      </c>
    </row>
    <row r="650" spans="1:5" x14ac:dyDescent="0.15">
      <c r="A650" s="194">
        <v>5032</v>
      </c>
      <c r="B650" s="195" t="s">
        <v>1351</v>
      </c>
      <c r="C650" s="195" t="s">
        <v>1359</v>
      </c>
      <c r="D650" s="196">
        <v>1</v>
      </c>
      <c r="E650" s="194" t="str">
        <f t="shared" si="10"/>
        <v>level II</v>
      </c>
    </row>
    <row r="651" spans="1:5" x14ac:dyDescent="0.15">
      <c r="A651" s="194">
        <v>5033</v>
      </c>
      <c r="B651" s="195" t="s">
        <v>1351</v>
      </c>
      <c r="C651" s="195" t="s">
        <v>1360</v>
      </c>
      <c r="D651" s="196">
        <v>1</v>
      </c>
      <c r="E651" s="194" t="str">
        <f t="shared" si="10"/>
        <v>level II</v>
      </c>
    </row>
    <row r="652" spans="1:5" x14ac:dyDescent="0.15">
      <c r="A652" s="194">
        <v>5039</v>
      </c>
      <c r="B652" s="195" t="s">
        <v>1351</v>
      </c>
      <c r="C652" s="195" t="s">
        <v>1361</v>
      </c>
      <c r="D652" s="196">
        <v>1</v>
      </c>
      <c r="E652" s="194" t="str">
        <f t="shared" si="10"/>
        <v>level II</v>
      </c>
    </row>
    <row r="653" spans="1:5" x14ac:dyDescent="0.15">
      <c r="A653" s="194">
        <v>5043</v>
      </c>
      <c r="B653" s="195" t="s">
        <v>1351</v>
      </c>
      <c r="C653" s="195" t="s">
        <v>1263</v>
      </c>
      <c r="D653" s="196">
        <v>1</v>
      </c>
      <c r="E653" s="194" t="str">
        <f t="shared" si="10"/>
        <v>level II</v>
      </c>
    </row>
    <row r="654" spans="1:5" x14ac:dyDescent="0.15">
      <c r="A654" s="194">
        <v>5044</v>
      </c>
      <c r="B654" s="195" t="s">
        <v>1351</v>
      </c>
      <c r="C654" s="195" t="s">
        <v>1362</v>
      </c>
      <c r="D654" s="196">
        <v>1</v>
      </c>
      <c r="E654" s="194" t="str">
        <f t="shared" si="10"/>
        <v>level II</v>
      </c>
    </row>
    <row r="655" spans="1:5" x14ac:dyDescent="0.15">
      <c r="A655" s="194">
        <v>5045</v>
      </c>
      <c r="B655" s="195" t="s">
        <v>1351</v>
      </c>
      <c r="C655" s="195" t="s">
        <v>1363</v>
      </c>
      <c r="D655" s="196">
        <v>1</v>
      </c>
      <c r="E655" s="194" t="str">
        <f t="shared" si="10"/>
        <v>level II</v>
      </c>
    </row>
    <row r="656" spans="1:5" x14ac:dyDescent="0.15">
      <c r="A656" s="194">
        <v>5046</v>
      </c>
      <c r="B656" s="195" t="s">
        <v>1351</v>
      </c>
      <c r="C656" s="195" t="s">
        <v>1364</v>
      </c>
      <c r="D656" s="196">
        <v>1</v>
      </c>
      <c r="E656" s="194" t="str">
        <f t="shared" si="10"/>
        <v>level II</v>
      </c>
    </row>
    <row r="657" spans="1:5" x14ac:dyDescent="0.15">
      <c r="A657" s="194">
        <v>5047</v>
      </c>
      <c r="B657" s="195" t="s">
        <v>1351</v>
      </c>
      <c r="C657" s="195" t="s">
        <v>1365</v>
      </c>
      <c r="D657" s="196">
        <v>1</v>
      </c>
      <c r="E657" s="194" t="str">
        <f t="shared" si="10"/>
        <v>level II</v>
      </c>
    </row>
    <row r="658" spans="1:5" x14ac:dyDescent="0.15">
      <c r="A658" s="194">
        <v>5048</v>
      </c>
      <c r="B658" s="195" t="s">
        <v>1351</v>
      </c>
      <c r="C658" s="195" t="s">
        <v>1366</v>
      </c>
      <c r="D658" s="196">
        <v>1</v>
      </c>
      <c r="E658" s="194" t="str">
        <f t="shared" si="10"/>
        <v>level II</v>
      </c>
    </row>
    <row r="659" spans="1:5" x14ac:dyDescent="0.15">
      <c r="A659" s="194">
        <v>5049</v>
      </c>
      <c r="B659" s="195" t="s">
        <v>1351</v>
      </c>
      <c r="C659" s="195" t="s">
        <v>1367</v>
      </c>
      <c r="D659" s="196">
        <v>1</v>
      </c>
      <c r="E659" s="194" t="str">
        <f t="shared" si="10"/>
        <v>level II</v>
      </c>
    </row>
    <row r="660" spans="1:5" x14ac:dyDescent="0.15">
      <c r="A660" s="194">
        <v>5051</v>
      </c>
      <c r="B660" s="195" t="s">
        <v>1351</v>
      </c>
      <c r="C660" s="195" t="s">
        <v>1368</v>
      </c>
      <c r="D660" s="196">
        <v>1</v>
      </c>
      <c r="E660" s="194" t="str">
        <f t="shared" si="10"/>
        <v>level II</v>
      </c>
    </row>
    <row r="661" spans="1:5" x14ac:dyDescent="0.15">
      <c r="A661" s="194">
        <v>5052</v>
      </c>
      <c r="B661" s="195" t="s">
        <v>1351</v>
      </c>
      <c r="C661" s="195" t="s">
        <v>1369</v>
      </c>
      <c r="D661" s="196">
        <v>1</v>
      </c>
      <c r="E661" s="194" t="str">
        <f t="shared" si="10"/>
        <v>level II</v>
      </c>
    </row>
    <row r="662" spans="1:5" x14ac:dyDescent="0.15">
      <c r="A662" s="194">
        <v>5063</v>
      </c>
      <c r="B662" s="195" t="s">
        <v>1351</v>
      </c>
      <c r="C662" s="195" t="s">
        <v>1370</v>
      </c>
      <c r="D662" s="196">
        <v>1</v>
      </c>
      <c r="E662" s="194" t="str">
        <f t="shared" si="10"/>
        <v>level II</v>
      </c>
    </row>
    <row r="663" spans="1:5" x14ac:dyDescent="0.15">
      <c r="A663" s="194">
        <v>5064</v>
      </c>
      <c r="B663" s="195" t="s">
        <v>1351</v>
      </c>
      <c r="C663" s="195" t="s">
        <v>1371</v>
      </c>
      <c r="D663" s="196">
        <v>1</v>
      </c>
      <c r="E663" s="194" t="str">
        <f t="shared" si="10"/>
        <v>level II</v>
      </c>
    </row>
    <row r="664" spans="1:5" x14ac:dyDescent="0.15">
      <c r="A664" s="194">
        <v>5065</v>
      </c>
      <c r="B664" s="195" t="s">
        <v>1351</v>
      </c>
      <c r="C664" s="195" t="s">
        <v>1372</v>
      </c>
      <c r="D664" s="196">
        <v>1</v>
      </c>
      <c r="E664" s="194" t="str">
        <f t="shared" si="10"/>
        <v>level II</v>
      </c>
    </row>
    <row r="665" spans="1:5" x14ac:dyDescent="0.15">
      <c r="A665" s="194">
        <v>5072</v>
      </c>
      <c r="B665" s="195" t="s">
        <v>1351</v>
      </c>
      <c r="C665" s="195" t="s">
        <v>1373</v>
      </c>
      <c r="D665" s="196">
        <v>1</v>
      </c>
      <c r="E665" s="194" t="str">
        <f t="shared" si="10"/>
        <v>level II</v>
      </c>
    </row>
    <row r="666" spans="1:5" x14ac:dyDescent="0.15">
      <c r="A666" s="194">
        <v>5074</v>
      </c>
      <c r="B666" s="195" t="s">
        <v>1351</v>
      </c>
      <c r="C666" s="195" t="s">
        <v>1374</v>
      </c>
      <c r="D666" s="196">
        <v>1</v>
      </c>
      <c r="E666" s="194" t="str">
        <f t="shared" si="10"/>
        <v>level II</v>
      </c>
    </row>
    <row r="667" spans="1:5" x14ac:dyDescent="0.15">
      <c r="A667" s="194">
        <v>5075</v>
      </c>
      <c r="B667" s="195" t="s">
        <v>1351</v>
      </c>
      <c r="C667" s="195" t="s">
        <v>1375</v>
      </c>
      <c r="D667" s="196">
        <v>1</v>
      </c>
      <c r="E667" s="194" t="str">
        <f t="shared" si="10"/>
        <v>level II</v>
      </c>
    </row>
    <row r="668" spans="1:5" x14ac:dyDescent="0.15">
      <c r="A668" s="194">
        <v>5078</v>
      </c>
      <c r="B668" s="195" t="s">
        <v>1351</v>
      </c>
      <c r="C668" s="195" t="s">
        <v>1376</v>
      </c>
      <c r="D668" s="196">
        <v>1</v>
      </c>
      <c r="E668" s="194" t="str">
        <f t="shared" si="10"/>
        <v>level II</v>
      </c>
    </row>
    <row r="669" spans="1:5" x14ac:dyDescent="0.15">
      <c r="A669" s="194">
        <v>5082</v>
      </c>
      <c r="B669" s="195" t="s">
        <v>1351</v>
      </c>
      <c r="C669" s="195" t="s">
        <v>1377</v>
      </c>
      <c r="D669" s="196">
        <v>1</v>
      </c>
      <c r="E669" s="194" t="str">
        <f t="shared" si="10"/>
        <v>level II</v>
      </c>
    </row>
    <row r="670" spans="1:5" x14ac:dyDescent="0.15">
      <c r="A670" s="194">
        <v>5083</v>
      </c>
      <c r="B670" s="195" t="s">
        <v>1351</v>
      </c>
      <c r="C670" s="195" t="s">
        <v>1378</v>
      </c>
      <c r="D670" s="196">
        <v>1</v>
      </c>
      <c r="E670" s="194" t="str">
        <f t="shared" si="10"/>
        <v>level II</v>
      </c>
    </row>
    <row r="671" spans="1:5" x14ac:dyDescent="0.15">
      <c r="A671" s="194">
        <v>5084</v>
      </c>
      <c r="B671" s="195" t="s">
        <v>1351</v>
      </c>
      <c r="C671" s="195" t="s">
        <v>1379</v>
      </c>
      <c r="D671" s="196">
        <v>1</v>
      </c>
      <c r="E671" s="194" t="str">
        <f t="shared" si="10"/>
        <v>level II</v>
      </c>
    </row>
    <row r="672" spans="1:5" x14ac:dyDescent="0.15">
      <c r="A672" s="194">
        <v>5085</v>
      </c>
      <c r="B672" s="195" t="s">
        <v>1351</v>
      </c>
      <c r="C672" s="195" t="s">
        <v>1380</v>
      </c>
      <c r="D672" s="196">
        <v>1</v>
      </c>
      <c r="E672" s="194" t="str">
        <f t="shared" si="10"/>
        <v>level II</v>
      </c>
    </row>
    <row r="673" spans="1:5" x14ac:dyDescent="0.15">
      <c r="A673" s="194">
        <v>5087</v>
      </c>
      <c r="B673" s="195" t="s">
        <v>1351</v>
      </c>
      <c r="C673" s="195" t="s">
        <v>1381</v>
      </c>
      <c r="D673" s="196">
        <v>1</v>
      </c>
      <c r="E673" s="194" t="str">
        <f t="shared" si="10"/>
        <v>level II</v>
      </c>
    </row>
    <row r="674" spans="1:5" x14ac:dyDescent="0.15">
      <c r="A674" s="194">
        <v>5088</v>
      </c>
      <c r="B674" s="195" t="s">
        <v>1351</v>
      </c>
      <c r="C674" s="195" t="s">
        <v>1382</v>
      </c>
      <c r="D674" s="196">
        <v>1</v>
      </c>
      <c r="E674" s="194" t="str">
        <f t="shared" si="10"/>
        <v>level II</v>
      </c>
    </row>
    <row r="675" spans="1:5" x14ac:dyDescent="0.15">
      <c r="A675" s="194">
        <v>5091</v>
      </c>
      <c r="B675" s="195" t="s">
        <v>1351</v>
      </c>
      <c r="C675" s="195" t="s">
        <v>1383</v>
      </c>
      <c r="D675" s="196">
        <v>1</v>
      </c>
      <c r="E675" s="194" t="str">
        <f t="shared" si="10"/>
        <v>level II</v>
      </c>
    </row>
    <row r="676" spans="1:5" x14ac:dyDescent="0.15">
      <c r="A676" s="194">
        <v>5092</v>
      </c>
      <c r="B676" s="195" t="s">
        <v>1351</v>
      </c>
      <c r="C676" s="195" t="s">
        <v>1384</v>
      </c>
      <c r="D676" s="196">
        <v>1</v>
      </c>
      <c r="E676" s="194" t="str">
        <f t="shared" si="10"/>
        <v>level II</v>
      </c>
    </row>
    <row r="677" spans="1:5" x14ac:dyDescent="0.15">
      <c r="A677" s="194">
        <v>5093</v>
      </c>
      <c r="B677" s="195" t="s">
        <v>1351</v>
      </c>
      <c r="C677" s="195" t="s">
        <v>1385</v>
      </c>
      <c r="D677" s="196">
        <v>1</v>
      </c>
      <c r="E677" s="194" t="str">
        <f t="shared" si="10"/>
        <v>level II</v>
      </c>
    </row>
    <row r="678" spans="1:5" x14ac:dyDescent="0.15">
      <c r="A678" s="194">
        <v>5094</v>
      </c>
      <c r="B678" s="195" t="s">
        <v>1351</v>
      </c>
      <c r="C678" s="195" t="s">
        <v>1386</v>
      </c>
      <c r="D678" s="196">
        <v>1</v>
      </c>
      <c r="E678" s="194" t="str">
        <f t="shared" si="10"/>
        <v>level II</v>
      </c>
    </row>
    <row r="679" spans="1:5" x14ac:dyDescent="0.15">
      <c r="A679" s="194">
        <v>5099</v>
      </c>
      <c r="B679" s="195" t="s">
        <v>1351</v>
      </c>
      <c r="C679" s="195" t="s">
        <v>1387</v>
      </c>
      <c r="D679" s="196">
        <v>1</v>
      </c>
      <c r="E679" s="194" t="str">
        <f t="shared" si="10"/>
        <v>level II</v>
      </c>
    </row>
    <row r="680" spans="1:5" x14ac:dyDescent="0.15">
      <c r="A680" s="194">
        <v>5111</v>
      </c>
      <c r="B680" s="195" t="s">
        <v>1351</v>
      </c>
      <c r="C680" s="195" t="s">
        <v>1388</v>
      </c>
      <c r="D680" s="196">
        <v>1.05</v>
      </c>
      <c r="E680" s="194" t="str">
        <f t="shared" si="10"/>
        <v>level III</v>
      </c>
    </row>
    <row r="681" spans="1:5" x14ac:dyDescent="0.15">
      <c r="A681" s="194">
        <v>5112</v>
      </c>
      <c r="B681" s="195" t="s">
        <v>1351</v>
      </c>
      <c r="C681" s="195" t="s">
        <v>1389</v>
      </c>
      <c r="D681" s="196">
        <v>1.05</v>
      </c>
      <c r="E681" s="194" t="str">
        <f t="shared" si="10"/>
        <v>level III</v>
      </c>
    </row>
    <row r="682" spans="1:5" x14ac:dyDescent="0.15">
      <c r="A682" s="194">
        <v>5113</v>
      </c>
      <c r="B682" s="195" t="s">
        <v>1351</v>
      </c>
      <c r="C682" s="195" t="s">
        <v>1390</v>
      </c>
      <c r="D682" s="196">
        <v>1.05</v>
      </c>
      <c r="E682" s="194" t="str">
        <f t="shared" si="10"/>
        <v>level III</v>
      </c>
    </row>
    <row r="683" spans="1:5" x14ac:dyDescent="0.15">
      <c r="A683" s="194">
        <v>5122</v>
      </c>
      <c r="B683" s="195" t="s">
        <v>1351</v>
      </c>
      <c r="C683" s="195" t="s">
        <v>1391</v>
      </c>
      <c r="D683" s="196">
        <v>1</v>
      </c>
      <c r="E683" s="194" t="str">
        <f t="shared" si="10"/>
        <v>level II</v>
      </c>
    </row>
    <row r="684" spans="1:5" x14ac:dyDescent="0.15">
      <c r="A684" s="194">
        <v>5131</v>
      </c>
      <c r="B684" s="195" t="s">
        <v>1351</v>
      </c>
      <c r="C684" s="195" t="s">
        <v>1392</v>
      </c>
      <c r="D684" s="196">
        <v>1</v>
      </c>
      <c r="E684" s="194" t="str">
        <f t="shared" si="10"/>
        <v>level II</v>
      </c>
    </row>
    <row r="685" spans="1:5" x14ac:dyDescent="0.15">
      <c r="A685" s="194">
        <v>5136</v>
      </c>
      <c r="B685" s="195" t="s">
        <v>1351</v>
      </c>
      <c r="C685" s="195" t="s">
        <v>1393</v>
      </c>
      <c r="D685" s="196">
        <v>1</v>
      </c>
      <c r="E685" s="194" t="str">
        <f t="shared" si="10"/>
        <v>level II</v>
      </c>
    </row>
    <row r="686" spans="1:5" x14ac:dyDescent="0.15">
      <c r="A686" s="194">
        <v>5137</v>
      </c>
      <c r="B686" s="195" t="s">
        <v>1351</v>
      </c>
      <c r="C686" s="195" t="s">
        <v>1394</v>
      </c>
      <c r="D686" s="196">
        <v>1</v>
      </c>
      <c r="E686" s="194" t="str">
        <f t="shared" si="10"/>
        <v>level II</v>
      </c>
    </row>
    <row r="687" spans="1:5" x14ac:dyDescent="0.15">
      <c r="A687" s="194">
        <v>5139</v>
      </c>
      <c r="B687" s="195" t="s">
        <v>1351</v>
      </c>
      <c r="C687" s="195" t="s">
        <v>1395</v>
      </c>
      <c r="D687" s="196">
        <v>1</v>
      </c>
      <c r="E687" s="194" t="str">
        <f t="shared" si="10"/>
        <v>level II</v>
      </c>
    </row>
    <row r="688" spans="1:5" x14ac:dyDescent="0.15">
      <c r="A688" s="194">
        <v>5141</v>
      </c>
      <c r="B688" s="195" t="s">
        <v>1351</v>
      </c>
      <c r="C688" s="195" t="s">
        <v>1396</v>
      </c>
      <c r="D688" s="196">
        <v>1</v>
      </c>
      <c r="E688" s="194" t="str">
        <f t="shared" si="10"/>
        <v>level II</v>
      </c>
    </row>
    <row r="689" spans="1:5" x14ac:dyDescent="0.15">
      <c r="A689" s="194">
        <v>5142</v>
      </c>
      <c r="B689" s="195" t="s">
        <v>1351</v>
      </c>
      <c r="C689" s="195" t="s">
        <v>1397</v>
      </c>
      <c r="D689" s="196">
        <v>1</v>
      </c>
      <c r="E689" s="194" t="str">
        <f t="shared" si="10"/>
        <v>level II</v>
      </c>
    </row>
    <row r="690" spans="1:5" x14ac:dyDescent="0.15">
      <c r="A690" s="194">
        <v>5143</v>
      </c>
      <c r="B690" s="195" t="s">
        <v>1351</v>
      </c>
      <c r="C690" s="195" t="s">
        <v>1398</v>
      </c>
      <c r="D690" s="196">
        <v>1</v>
      </c>
      <c r="E690" s="194" t="str">
        <f t="shared" si="10"/>
        <v>level II</v>
      </c>
    </row>
    <row r="691" spans="1:5" x14ac:dyDescent="0.15">
      <c r="A691" s="194">
        <v>5144</v>
      </c>
      <c r="B691" s="195" t="s">
        <v>1351</v>
      </c>
      <c r="C691" s="195" t="s">
        <v>1399</v>
      </c>
      <c r="D691" s="196">
        <v>1</v>
      </c>
      <c r="E691" s="194" t="str">
        <f t="shared" si="10"/>
        <v>level II</v>
      </c>
    </row>
    <row r="692" spans="1:5" x14ac:dyDescent="0.15">
      <c r="A692" s="194">
        <v>5145</v>
      </c>
      <c r="B692" s="195" t="s">
        <v>1351</v>
      </c>
      <c r="C692" s="195" t="s">
        <v>1400</v>
      </c>
      <c r="D692" s="196">
        <v>1</v>
      </c>
      <c r="E692" s="194" t="str">
        <f t="shared" si="10"/>
        <v>level II</v>
      </c>
    </row>
    <row r="693" spans="1:5" x14ac:dyDescent="0.15">
      <c r="A693" s="194">
        <v>5146</v>
      </c>
      <c r="B693" s="195" t="s">
        <v>1351</v>
      </c>
      <c r="C693" s="195" t="s">
        <v>1401</v>
      </c>
      <c r="D693" s="196">
        <v>1</v>
      </c>
      <c r="E693" s="194" t="str">
        <f t="shared" si="10"/>
        <v>level II</v>
      </c>
    </row>
    <row r="694" spans="1:5" x14ac:dyDescent="0.15">
      <c r="A694" s="194">
        <v>5147</v>
      </c>
      <c r="B694" s="195" t="s">
        <v>1351</v>
      </c>
      <c r="C694" s="195" t="s">
        <v>1402</v>
      </c>
      <c r="D694" s="196">
        <v>1</v>
      </c>
      <c r="E694" s="194" t="str">
        <f t="shared" si="10"/>
        <v>level II</v>
      </c>
    </row>
    <row r="695" spans="1:5" x14ac:dyDescent="0.15">
      <c r="A695" s="194">
        <v>5148</v>
      </c>
      <c r="B695" s="195" t="s">
        <v>1351</v>
      </c>
      <c r="C695" s="195" t="s">
        <v>1403</v>
      </c>
      <c r="D695" s="196">
        <v>1</v>
      </c>
      <c r="E695" s="194" t="str">
        <f t="shared" si="10"/>
        <v>level II</v>
      </c>
    </row>
    <row r="696" spans="1:5" x14ac:dyDescent="0.15">
      <c r="A696" s="194">
        <v>5149</v>
      </c>
      <c r="B696" s="195" t="s">
        <v>1351</v>
      </c>
      <c r="C696" s="195" t="s">
        <v>1404</v>
      </c>
      <c r="D696" s="196">
        <v>1</v>
      </c>
      <c r="E696" s="194" t="str">
        <f t="shared" si="10"/>
        <v>level II</v>
      </c>
    </row>
    <row r="697" spans="1:5" x14ac:dyDescent="0.15">
      <c r="A697" s="194">
        <v>5153</v>
      </c>
      <c r="B697" s="195" t="s">
        <v>1351</v>
      </c>
      <c r="C697" s="195" t="s">
        <v>1405</v>
      </c>
      <c r="D697" s="196">
        <v>1</v>
      </c>
      <c r="E697" s="194" t="str">
        <f t="shared" si="10"/>
        <v>level II</v>
      </c>
    </row>
    <row r="698" spans="1:5" x14ac:dyDescent="0.15">
      <c r="A698" s="194">
        <v>5154</v>
      </c>
      <c r="B698" s="195" t="s">
        <v>1351</v>
      </c>
      <c r="C698" s="195" t="s">
        <v>1406</v>
      </c>
      <c r="D698" s="196">
        <v>1</v>
      </c>
      <c r="E698" s="194" t="str">
        <f t="shared" si="10"/>
        <v>level II</v>
      </c>
    </row>
    <row r="699" spans="1:5" x14ac:dyDescent="0.15">
      <c r="A699" s="194">
        <v>5159</v>
      </c>
      <c r="B699" s="195" t="s">
        <v>1351</v>
      </c>
      <c r="C699" s="195" t="s">
        <v>1407</v>
      </c>
      <c r="D699" s="196">
        <v>1</v>
      </c>
      <c r="E699" s="194" t="str">
        <f t="shared" si="10"/>
        <v>level II</v>
      </c>
    </row>
    <row r="700" spans="1:5" x14ac:dyDescent="0.15">
      <c r="A700" s="194">
        <v>5162</v>
      </c>
      <c r="B700" s="195" t="s">
        <v>1351</v>
      </c>
      <c r="C700" s="195" t="s">
        <v>1408</v>
      </c>
      <c r="D700" s="196">
        <v>1</v>
      </c>
      <c r="E700" s="194" t="str">
        <f t="shared" si="10"/>
        <v>level II</v>
      </c>
    </row>
    <row r="701" spans="1:5" x14ac:dyDescent="0.15">
      <c r="A701" s="194">
        <v>5169</v>
      </c>
      <c r="B701" s="195" t="s">
        <v>1351</v>
      </c>
      <c r="C701" s="195" t="s">
        <v>1409</v>
      </c>
      <c r="D701" s="196">
        <v>1</v>
      </c>
      <c r="E701" s="194" t="str">
        <f t="shared" si="10"/>
        <v>level II</v>
      </c>
    </row>
    <row r="702" spans="1:5" x14ac:dyDescent="0.15">
      <c r="A702" s="194">
        <v>5171</v>
      </c>
      <c r="B702" s="195" t="s">
        <v>1351</v>
      </c>
      <c r="C702" s="195" t="s">
        <v>1410</v>
      </c>
      <c r="D702" s="196">
        <v>1</v>
      </c>
      <c r="E702" s="194" t="str">
        <f t="shared" si="10"/>
        <v>level II</v>
      </c>
    </row>
    <row r="703" spans="1:5" x14ac:dyDescent="0.15">
      <c r="A703" s="194">
        <v>5172</v>
      </c>
      <c r="B703" s="195" t="s">
        <v>1351</v>
      </c>
      <c r="C703" s="195" t="s">
        <v>1411</v>
      </c>
      <c r="D703" s="196">
        <v>1</v>
      </c>
      <c r="E703" s="194" t="str">
        <f t="shared" si="10"/>
        <v>level II</v>
      </c>
    </row>
    <row r="704" spans="1:5" x14ac:dyDescent="0.15">
      <c r="A704" s="194">
        <v>5181</v>
      </c>
      <c r="B704" s="195" t="s">
        <v>1351</v>
      </c>
      <c r="C704" s="195" t="s">
        <v>1412</v>
      </c>
      <c r="D704" s="196">
        <v>1</v>
      </c>
      <c r="E704" s="194" t="str">
        <f t="shared" si="10"/>
        <v>level II</v>
      </c>
    </row>
    <row r="705" spans="1:5" x14ac:dyDescent="0.15">
      <c r="A705" s="194">
        <v>5182</v>
      </c>
      <c r="B705" s="195" t="s">
        <v>1351</v>
      </c>
      <c r="C705" s="195" t="s">
        <v>1413</v>
      </c>
      <c r="D705" s="196">
        <v>1</v>
      </c>
      <c r="E705" s="194" t="str">
        <f t="shared" si="10"/>
        <v>level II</v>
      </c>
    </row>
    <row r="706" spans="1:5" x14ac:dyDescent="0.15">
      <c r="A706" s="194">
        <v>5191</v>
      </c>
      <c r="B706" s="195" t="s">
        <v>1351</v>
      </c>
      <c r="C706" s="195" t="s">
        <v>1414</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1351</v>
      </c>
      <c r="C707" s="195" t="s">
        <v>1415</v>
      </c>
      <c r="D707" s="196">
        <v>1</v>
      </c>
      <c r="E707" s="194" t="str">
        <f t="shared" si="11"/>
        <v>level II</v>
      </c>
    </row>
    <row r="708" spans="1:5" x14ac:dyDescent="0.15">
      <c r="A708" s="194">
        <v>5193</v>
      </c>
      <c r="B708" s="195" t="s">
        <v>1351</v>
      </c>
      <c r="C708" s="195" t="s">
        <v>1416</v>
      </c>
      <c r="D708" s="196">
        <v>1</v>
      </c>
      <c r="E708" s="194" t="str">
        <f t="shared" si="11"/>
        <v>level II</v>
      </c>
    </row>
    <row r="709" spans="1:5" x14ac:dyDescent="0.15">
      <c r="A709" s="194">
        <v>5194</v>
      </c>
      <c r="B709" s="195" t="s">
        <v>1351</v>
      </c>
      <c r="C709" s="195" t="s">
        <v>1417</v>
      </c>
      <c r="D709" s="196">
        <v>1</v>
      </c>
      <c r="E709" s="194" t="str">
        <f t="shared" si="11"/>
        <v>level II</v>
      </c>
    </row>
    <row r="710" spans="1:5" x14ac:dyDescent="0.15">
      <c r="A710" s="194">
        <v>5198</v>
      </c>
      <c r="B710" s="195" t="s">
        <v>1351</v>
      </c>
      <c r="C710" s="195" t="s">
        <v>1418</v>
      </c>
      <c r="D710" s="196">
        <v>1</v>
      </c>
      <c r="E710" s="194" t="str">
        <f t="shared" si="11"/>
        <v>level II</v>
      </c>
    </row>
    <row r="711" spans="1:5" x14ac:dyDescent="0.15">
      <c r="A711" s="194">
        <v>5199</v>
      </c>
      <c r="B711" s="195" t="s">
        <v>1351</v>
      </c>
      <c r="C711" s="195" t="s">
        <v>1419</v>
      </c>
      <c r="D711" s="196">
        <v>1</v>
      </c>
      <c r="E711" s="194" t="str">
        <f t="shared" si="11"/>
        <v>level II</v>
      </c>
    </row>
    <row r="712" spans="1:5" x14ac:dyDescent="0.15">
      <c r="A712" s="194">
        <v>5211</v>
      </c>
      <c r="B712" s="195" t="s">
        <v>1420</v>
      </c>
      <c r="C712" s="195" t="s">
        <v>1421</v>
      </c>
      <c r="D712" s="196">
        <v>1</v>
      </c>
      <c r="E712" s="194" t="str">
        <f t="shared" si="11"/>
        <v>level II</v>
      </c>
    </row>
    <row r="713" spans="1:5" x14ac:dyDescent="0.15">
      <c r="A713" s="194">
        <v>5231</v>
      </c>
      <c r="B713" s="195" t="s">
        <v>1420</v>
      </c>
      <c r="C713" s="195" t="s">
        <v>1422</v>
      </c>
      <c r="D713" s="196">
        <v>1</v>
      </c>
      <c r="E713" s="194" t="str">
        <f t="shared" si="11"/>
        <v>level II</v>
      </c>
    </row>
    <row r="714" spans="1:5" x14ac:dyDescent="0.15">
      <c r="A714" s="194">
        <v>5251</v>
      </c>
      <c r="B714" s="195" t="s">
        <v>1420</v>
      </c>
      <c r="C714" s="195" t="s">
        <v>1423</v>
      </c>
      <c r="D714" s="196">
        <v>1</v>
      </c>
      <c r="E714" s="194" t="str">
        <f t="shared" si="11"/>
        <v>level II</v>
      </c>
    </row>
    <row r="715" spans="1:5" x14ac:dyDescent="0.15">
      <c r="A715" s="194">
        <v>5261</v>
      </c>
      <c r="B715" s="195" t="s">
        <v>1420</v>
      </c>
      <c r="C715" s="195" t="s">
        <v>1424</v>
      </c>
      <c r="D715" s="196">
        <v>1</v>
      </c>
      <c r="E715" s="194" t="str">
        <f t="shared" si="11"/>
        <v>level II</v>
      </c>
    </row>
    <row r="716" spans="1:5" x14ac:dyDescent="0.15">
      <c r="A716" s="194">
        <v>5271</v>
      </c>
      <c r="B716" s="195" t="s">
        <v>1420</v>
      </c>
      <c r="C716" s="195" t="s">
        <v>1425</v>
      </c>
      <c r="D716" s="196">
        <v>1.05</v>
      </c>
      <c r="E716" s="194" t="str">
        <f t="shared" si="11"/>
        <v>level III</v>
      </c>
    </row>
    <row r="717" spans="1:5" x14ac:dyDescent="0.15">
      <c r="A717" s="194">
        <v>5311</v>
      </c>
      <c r="B717" s="195" t="s">
        <v>1420</v>
      </c>
      <c r="C717" s="195" t="s">
        <v>1426</v>
      </c>
      <c r="D717" s="196">
        <v>0.95</v>
      </c>
      <c r="E717" s="194" t="str">
        <f t="shared" si="11"/>
        <v>level I</v>
      </c>
    </row>
    <row r="718" spans="1:5" x14ac:dyDescent="0.15">
      <c r="A718" s="194">
        <v>5331</v>
      </c>
      <c r="B718" s="195" t="s">
        <v>1420</v>
      </c>
      <c r="C718" s="195" t="s">
        <v>1427</v>
      </c>
      <c r="D718" s="196">
        <v>0.95</v>
      </c>
      <c r="E718" s="194" t="str">
        <f t="shared" si="11"/>
        <v>level I</v>
      </c>
    </row>
    <row r="719" spans="1:5" x14ac:dyDescent="0.15">
      <c r="A719" s="194">
        <v>5399</v>
      </c>
      <c r="B719" s="195" t="s">
        <v>1420</v>
      </c>
      <c r="C719" s="195" t="s">
        <v>1428</v>
      </c>
      <c r="D719" s="196">
        <v>0.95</v>
      </c>
      <c r="E719" s="194" t="str">
        <f t="shared" si="11"/>
        <v>level I</v>
      </c>
    </row>
    <row r="720" spans="1:5" x14ac:dyDescent="0.15">
      <c r="A720" s="194">
        <v>5411</v>
      </c>
      <c r="B720" s="195" t="s">
        <v>1420</v>
      </c>
      <c r="C720" s="195" t="s">
        <v>1429</v>
      </c>
      <c r="D720" s="196">
        <v>1</v>
      </c>
      <c r="E720" s="194" t="str">
        <f t="shared" si="11"/>
        <v>level II</v>
      </c>
    </row>
    <row r="721" spans="1:5" x14ac:dyDescent="0.15">
      <c r="A721" s="194">
        <v>5421</v>
      </c>
      <c r="B721" s="195" t="s">
        <v>1420</v>
      </c>
      <c r="C721" s="195" t="s">
        <v>1430</v>
      </c>
      <c r="D721" s="196">
        <v>1</v>
      </c>
      <c r="E721" s="194" t="str">
        <f t="shared" si="11"/>
        <v>level II</v>
      </c>
    </row>
    <row r="722" spans="1:5" x14ac:dyDescent="0.15">
      <c r="A722" s="194">
        <v>5431</v>
      </c>
      <c r="B722" s="195" t="s">
        <v>1420</v>
      </c>
      <c r="C722" s="195" t="s">
        <v>1431</v>
      </c>
      <c r="D722" s="196">
        <v>1</v>
      </c>
      <c r="E722" s="194" t="str">
        <f t="shared" si="11"/>
        <v>level II</v>
      </c>
    </row>
    <row r="723" spans="1:5" x14ac:dyDescent="0.15">
      <c r="A723" s="194">
        <v>5441</v>
      </c>
      <c r="B723" s="195" t="s">
        <v>1420</v>
      </c>
      <c r="C723" s="195" t="s">
        <v>1432</v>
      </c>
      <c r="D723" s="196">
        <v>1</v>
      </c>
      <c r="E723" s="194" t="str">
        <f t="shared" si="11"/>
        <v>level II</v>
      </c>
    </row>
    <row r="724" spans="1:5" x14ac:dyDescent="0.15">
      <c r="A724" s="194">
        <v>5451</v>
      </c>
      <c r="B724" s="195" t="s">
        <v>1420</v>
      </c>
      <c r="C724" s="195" t="s">
        <v>1433</v>
      </c>
      <c r="D724" s="196">
        <v>1</v>
      </c>
      <c r="E724" s="194" t="str">
        <f t="shared" si="11"/>
        <v>level II</v>
      </c>
    </row>
    <row r="725" spans="1:5" x14ac:dyDescent="0.15">
      <c r="A725" s="194">
        <v>5461</v>
      </c>
      <c r="B725" s="195" t="s">
        <v>1420</v>
      </c>
      <c r="C725" s="195" t="s">
        <v>1434</v>
      </c>
      <c r="D725" s="196">
        <v>1</v>
      </c>
      <c r="E725" s="194" t="str">
        <f t="shared" si="11"/>
        <v>level II</v>
      </c>
    </row>
    <row r="726" spans="1:5" x14ac:dyDescent="0.15">
      <c r="A726" s="194">
        <v>5499</v>
      </c>
      <c r="B726" s="195" t="s">
        <v>1420</v>
      </c>
      <c r="C726" s="195" t="s">
        <v>1435</v>
      </c>
      <c r="D726" s="196">
        <v>1</v>
      </c>
      <c r="E726" s="194" t="str">
        <f t="shared" si="11"/>
        <v>level II</v>
      </c>
    </row>
    <row r="727" spans="1:5" x14ac:dyDescent="0.15">
      <c r="A727" s="194">
        <v>5511</v>
      </c>
      <c r="B727" s="195" t="s">
        <v>1420</v>
      </c>
      <c r="C727" s="195" t="s">
        <v>1436</v>
      </c>
      <c r="D727" s="196">
        <v>1.35</v>
      </c>
      <c r="E727" s="194" t="str">
        <f t="shared" si="11"/>
        <v>level VII</v>
      </c>
    </row>
    <row r="728" spans="1:5" x14ac:dyDescent="0.15">
      <c r="A728" s="194">
        <v>5521</v>
      </c>
      <c r="B728" s="195" t="s">
        <v>1420</v>
      </c>
      <c r="C728" s="195" t="s">
        <v>1437</v>
      </c>
      <c r="D728" s="196">
        <v>1.35</v>
      </c>
      <c r="E728" s="194" t="str">
        <f t="shared" si="11"/>
        <v>level VII</v>
      </c>
    </row>
    <row r="729" spans="1:5" x14ac:dyDescent="0.15">
      <c r="A729" s="194">
        <v>5531</v>
      </c>
      <c r="B729" s="195" t="s">
        <v>1420</v>
      </c>
      <c r="C729" s="195" t="s">
        <v>1438</v>
      </c>
      <c r="D729" s="196">
        <v>1</v>
      </c>
      <c r="E729" s="194" t="str">
        <f t="shared" si="11"/>
        <v>level II</v>
      </c>
    </row>
    <row r="730" spans="1:5" x14ac:dyDescent="0.15">
      <c r="A730" s="194">
        <v>5541</v>
      </c>
      <c r="B730" s="195" t="s">
        <v>1420</v>
      </c>
      <c r="C730" s="195" t="s">
        <v>1439</v>
      </c>
      <c r="D730" s="196">
        <v>1.35</v>
      </c>
      <c r="E730" s="194" t="str">
        <f t="shared" si="11"/>
        <v>level VII</v>
      </c>
    </row>
    <row r="731" spans="1:5" x14ac:dyDescent="0.15">
      <c r="A731" s="194">
        <v>5551</v>
      </c>
      <c r="B731" s="195" t="s">
        <v>1420</v>
      </c>
      <c r="C731" s="195" t="s">
        <v>1440</v>
      </c>
      <c r="D731" s="196">
        <v>1.35</v>
      </c>
      <c r="E731" s="194" t="str">
        <f t="shared" si="11"/>
        <v>level VII</v>
      </c>
    </row>
    <row r="732" spans="1:5" x14ac:dyDescent="0.15">
      <c r="A732" s="194">
        <v>5561</v>
      </c>
      <c r="B732" s="195" t="s">
        <v>1420</v>
      </c>
      <c r="C732" s="195" t="s">
        <v>1441</v>
      </c>
      <c r="D732" s="196">
        <v>1.35</v>
      </c>
      <c r="E732" s="194" t="str">
        <f t="shared" si="11"/>
        <v>level VII</v>
      </c>
    </row>
    <row r="733" spans="1:5" x14ac:dyDescent="0.15">
      <c r="A733" s="194">
        <v>5571</v>
      </c>
      <c r="B733" s="195" t="s">
        <v>1420</v>
      </c>
      <c r="C733" s="195" t="s">
        <v>1442</v>
      </c>
      <c r="D733" s="196">
        <v>1.35</v>
      </c>
      <c r="E733" s="194" t="str">
        <f t="shared" si="11"/>
        <v>level VII</v>
      </c>
    </row>
    <row r="734" spans="1:5" x14ac:dyDescent="0.15">
      <c r="A734" s="194">
        <v>5599</v>
      </c>
      <c r="B734" s="195" t="s">
        <v>1420</v>
      </c>
      <c r="C734" s="195" t="s">
        <v>1443</v>
      </c>
      <c r="D734" s="196">
        <v>1.35</v>
      </c>
      <c r="E734" s="194" t="str">
        <f t="shared" si="11"/>
        <v>level VII</v>
      </c>
    </row>
    <row r="735" spans="1:5" x14ac:dyDescent="0.15">
      <c r="A735" s="194">
        <v>5611</v>
      </c>
      <c r="B735" s="195" t="s">
        <v>1420</v>
      </c>
      <c r="C735" s="195" t="s">
        <v>1444</v>
      </c>
      <c r="D735" s="196">
        <v>1.05</v>
      </c>
      <c r="E735" s="194" t="str">
        <f t="shared" si="11"/>
        <v>level III</v>
      </c>
    </row>
    <row r="736" spans="1:5" x14ac:dyDescent="0.15">
      <c r="A736" s="194">
        <v>5621</v>
      </c>
      <c r="B736" s="195" t="s">
        <v>1420</v>
      </c>
      <c r="C736" s="195" t="s">
        <v>1445</v>
      </c>
      <c r="D736" s="196">
        <v>1.05</v>
      </c>
      <c r="E736" s="194" t="str">
        <f t="shared" si="11"/>
        <v>level III</v>
      </c>
    </row>
    <row r="737" spans="1:5" x14ac:dyDescent="0.15">
      <c r="A737" s="194">
        <v>5632</v>
      </c>
      <c r="B737" s="195" t="s">
        <v>1420</v>
      </c>
      <c r="C737" s="195" t="s">
        <v>1446</v>
      </c>
      <c r="D737" s="196">
        <v>1.05</v>
      </c>
      <c r="E737" s="194" t="str">
        <f t="shared" si="11"/>
        <v>level III</v>
      </c>
    </row>
    <row r="738" spans="1:5" x14ac:dyDescent="0.15">
      <c r="A738" s="194">
        <v>5641</v>
      </c>
      <c r="B738" s="195" t="s">
        <v>1420</v>
      </c>
      <c r="C738" s="195" t="s">
        <v>1447</v>
      </c>
      <c r="D738" s="196">
        <v>1.05</v>
      </c>
      <c r="E738" s="194" t="str">
        <f t="shared" si="11"/>
        <v>level III</v>
      </c>
    </row>
    <row r="739" spans="1:5" x14ac:dyDescent="0.15">
      <c r="A739" s="194">
        <v>5651</v>
      </c>
      <c r="B739" s="195" t="s">
        <v>1420</v>
      </c>
      <c r="C739" s="195" t="s">
        <v>1448</v>
      </c>
      <c r="D739" s="196">
        <v>1.05</v>
      </c>
      <c r="E739" s="194" t="str">
        <f t="shared" si="11"/>
        <v>level III</v>
      </c>
    </row>
    <row r="740" spans="1:5" x14ac:dyDescent="0.15">
      <c r="A740" s="194">
        <v>5661</v>
      </c>
      <c r="B740" s="195" t="s">
        <v>1420</v>
      </c>
      <c r="C740" s="195" t="s">
        <v>1449</v>
      </c>
      <c r="D740" s="196">
        <v>1.05</v>
      </c>
      <c r="E740" s="194" t="str">
        <f t="shared" si="11"/>
        <v>level III</v>
      </c>
    </row>
    <row r="741" spans="1:5" x14ac:dyDescent="0.15">
      <c r="A741" s="194">
        <v>5699</v>
      </c>
      <c r="B741" s="195" t="s">
        <v>1420</v>
      </c>
      <c r="C741" s="195" t="s">
        <v>1450</v>
      </c>
      <c r="D741" s="196">
        <v>1.05</v>
      </c>
      <c r="E741" s="194" t="str">
        <f t="shared" si="11"/>
        <v>level III</v>
      </c>
    </row>
    <row r="742" spans="1:5" x14ac:dyDescent="0.15">
      <c r="A742" s="194">
        <v>5712</v>
      </c>
      <c r="B742" s="195" t="s">
        <v>1420</v>
      </c>
      <c r="C742" s="195" t="s">
        <v>1451</v>
      </c>
      <c r="D742" s="196">
        <v>1.05</v>
      </c>
      <c r="E742" s="194" t="str">
        <f t="shared" si="11"/>
        <v>level III</v>
      </c>
    </row>
    <row r="743" spans="1:5" x14ac:dyDescent="0.15">
      <c r="A743" s="194">
        <v>5713</v>
      </c>
      <c r="B743" s="195" t="s">
        <v>1420</v>
      </c>
      <c r="C743" s="195" t="s">
        <v>1452</v>
      </c>
      <c r="D743" s="196">
        <v>1.05</v>
      </c>
      <c r="E743" s="194" t="str">
        <f t="shared" si="11"/>
        <v>level III</v>
      </c>
    </row>
    <row r="744" spans="1:5" x14ac:dyDescent="0.15">
      <c r="A744" s="194">
        <v>5714</v>
      </c>
      <c r="B744" s="195" t="s">
        <v>1420</v>
      </c>
      <c r="C744" s="195" t="s">
        <v>1453</v>
      </c>
      <c r="D744" s="196">
        <v>1.05</v>
      </c>
      <c r="E744" s="194" t="str">
        <f t="shared" si="11"/>
        <v>level III</v>
      </c>
    </row>
    <row r="745" spans="1:5" x14ac:dyDescent="0.15">
      <c r="A745" s="194">
        <v>5719</v>
      </c>
      <c r="B745" s="195" t="s">
        <v>1420</v>
      </c>
      <c r="C745" s="195" t="s">
        <v>1454</v>
      </c>
      <c r="D745" s="196">
        <v>1.05</v>
      </c>
      <c r="E745" s="194" t="str">
        <f t="shared" si="11"/>
        <v>level III</v>
      </c>
    </row>
    <row r="746" spans="1:5" x14ac:dyDescent="0.15">
      <c r="A746" s="194">
        <v>5722</v>
      </c>
      <c r="B746" s="195" t="s">
        <v>1420</v>
      </c>
      <c r="C746" s="195" t="s">
        <v>1455</v>
      </c>
      <c r="D746" s="196">
        <v>1.05</v>
      </c>
      <c r="E746" s="194" t="str">
        <f t="shared" si="11"/>
        <v>level III</v>
      </c>
    </row>
    <row r="747" spans="1:5" x14ac:dyDescent="0.15">
      <c r="A747" s="194">
        <v>5731</v>
      </c>
      <c r="B747" s="195" t="s">
        <v>1420</v>
      </c>
      <c r="C747" s="195" t="s">
        <v>1456</v>
      </c>
      <c r="D747" s="196">
        <v>1.05</v>
      </c>
      <c r="E747" s="194" t="str">
        <f t="shared" si="11"/>
        <v>level III</v>
      </c>
    </row>
    <row r="748" spans="1:5" x14ac:dyDescent="0.15">
      <c r="A748" s="194">
        <v>5734</v>
      </c>
      <c r="B748" s="195" t="s">
        <v>1420</v>
      </c>
      <c r="C748" s="195" t="s">
        <v>1457</v>
      </c>
      <c r="D748" s="196">
        <v>1.05</v>
      </c>
      <c r="E748" s="194" t="str">
        <f t="shared" si="11"/>
        <v>level III</v>
      </c>
    </row>
    <row r="749" spans="1:5" x14ac:dyDescent="0.15">
      <c r="A749" s="194">
        <v>5735</v>
      </c>
      <c r="B749" s="195" t="s">
        <v>1420</v>
      </c>
      <c r="C749" s="195" t="s">
        <v>1458</v>
      </c>
      <c r="D749" s="196">
        <v>1.05</v>
      </c>
      <c r="E749" s="194" t="str">
        <f t="shared" si="11"/>
        <v>level III</v>
      </c>
    </row>
    <row r="750" spans="1:5" x14ac:dyDescent="0.15">
      <c r="A750" s="194">
        <v>5736</v>
      </c>
      <c r="B750" s="195" t="s">
        <v>1420</v>
      </c>
      <c r="C750" s="195" t="s">
        <v>1459</v>
      </c>
      <c r="D750" s="196">
        <v>1.05</v>
      </c>
      <c r="E750" s="194" t="str">
        <f t="shared" si="11"/>
        <v>level III</v>
      </c>
    </row>
    <row r="751" spans="1:5" x14ac:dyDescent="0.15">
      <c r="A751" s="194">
        <v>5812</v>
      </c>
      <c r="B751" s="195" t="s">
        <v>1420</v>
      </c>
      <c r="C751" s="195" t="s">
        <v>1460</v>
      </c>
      <c r="D751" s="196">
        <v>1.05</v>
      </c>
      <c r="E751" s="194" t="str">
        <f t="shared" si="11"/>
        <v>level III</v>
      </c>
    </row>
    <row r="752" spans="1:5" x14ac:dyDescent="0.15">
      <c r="A752" s="194">
        <v>5813</v>
      </c>
      <c r="B752" s="195" t="s">
        <v>1420</v>
      </c>
      <c r="C752" s="195" t="s">
        <v>1461</v>
      </c>
      <c r="D752" s="196">
        <v>1.05</v>
      </c>
      <c r="E752" s="194" t="str">
        <f t="shared" si="11"/>
        <v>level III</v>
      </c>
    </row>
    <row r="753" spans="1:5" x14ac:dyDescent="0.15">
      <c r="A753" s="194">
        <v>5912</v>
      </c>
      <c r="B753" s="195" t="s">
        <v>1420</v>
      </c>
      <c r="C753" s="195" t="s">
        <v>1462</v>
      </c>
      <c r="D753" s="196">
        <v>1.05</v>
      </c>
      <c r="E753" s="194" t="str">
        <f t="shared" si="11"/>
        <v>level III</v>
      </c>
    </row>
    <row r="754" spans="1:5" x14ac:dyDescent="0.15">
      <c r="A754" s="194">
        <v>5921</v>
      </c>
      <c r="B754" s="195" t="s">
        <v>1420</v>
      </c>
      <c r="C754" s="195" t="s">
        <v>1463</v>
      </c>
      <c r="D754" s="196">
        <v>1.05</v>
      </c>
      <c r="E754" s="194" t="str">
        <f t="shared" si="11"/>
        <v>level III</v>
      </c>
    </row>
    <row r="755" spans="1:5" x14ac:dyDescent="0.15">
      <c r="A755" s="194">
        <v>5932</v>
      </c>
      <c r="B755" s="195" t="s">
        <v>1420</v>
      </c>
      <c r="C755" s="195" t="s">
        <v>1464</v>
      </c>
      <c r="D755" s="196">
        <v>1.05</v>
      </c>
      <c r="E755" s="194" t="str">
        <f t="shared" si="11"/>
        <v>level III</v>
      </c>
    </row>
    <row r="756" spans="1:5" x14ac:dyDescent="0.15">
      <c r="A756" s="194">
        <v>5941</v>
      </c>
      <c r="B756" s="195" t="s">
        <v>1420</v>
      </c>
      <c r="C756" s="195" t="s">
        <v>1465</v>
      </c>
      <c r="D756" s="196">
        <v>1.05</v>
      </c>
      <c r="E756" s="194" t="str">
        <f t="shared" si="11"/>
        <v>level III</v>
      </c>
    </row>
    <row r="757" spans="1:5" x14ac:dyDescent="0.15">
      <c r="A757" s="194">
        <v>5942</v>
      </c>
      <c r="B757" s="195" t="s">
        <v>1420</v>
      </c>
      <c r="C757" s="195" t="s">
        <v>1466</v>
      </c>
      <c r="D757" s="196">
        <v>1.05</v>
      </c>
      <c r="E757" s="194" t="str">
        <f t="shared" si="11"/>
        <v>level III</v>
      </c>
    </row>
    <row r="758" spans="1:5" x14ac:dyDescent="0.15">
      <c r="A758" s="194">
        <v>5943</v>
      </c>
      <c r="B758" s="195" t="s">
        <v>1420</v>
      </c>
      <c r="C758" s="195" t="s">
        <v>1467</v>
      </c>
      <c r="D758" s="196">
        <v>1.05</v>
      </c>
      <c r="E758" s="194" t="str">
        <f t="shared" si="11"/>
        <v>level III</v>
      </c>
    </row>
    <row r="759" spans="1:5" x14ac:dyDescent="0.15">
      <c r="A759" s="194">
        <v>5944</v>
      </c>
      <c r="B759" s="195" t="s">
        <v>1420</v>
      </c>
      <c r="C759" s="195" t="s">
        <v>1468</v>
      </c>
      <c r="D759" s="196">
        <v>1.05</v>
      </c>
      <c r="E759" s="194" t="str">
        <f t="shared" si="11"/>
        <v>level III</v>
      </c>
    </row>
    <row r="760" spans="1:5" x14ac:dyDescent="0.15">
      <c r="A760" s="194">
        <v>5945</v>
      </c>
      <c r="B760" s="195" t="s">
        <v>1420</v>
      </c>
      <c r="C760" s="195" t="s">
        <v>1469</v>
      </c>
      <c r="D760" s="196">
        <v>1.05</v>
      </c>
      <c r="E760" s="194" t="str">
        <f t="shared" si="11"/>
        <v>level III</v>
      </c>
    </row>
    <row r="761" spans="1:5" x14ac:dyDescent="0.15">
      <c r="A761" s="194">
        <v>5946</v>
      </c>
      <c r="B761" s="195" t="s">
        <v>1420</v>
      </c>
      <c r="C761" s="195" t="s">
        <v>1470</v>
      </c>
      <c r="D761" s="196">
        <v>1.05</v>
      </c>
      <c r="E761" s="194" t="str">
        <f t="shared" si="11"/>
        <v>level III</v>
      </c>
    </row>
    <row r="762" spans="1:5" x14ac:dyDescent="0.15">
      <c r="A762" s="194">
        <v>5947</v>
      </c>
      <c r="B762" s="195" t="s">
        <v>1420</v>
      </c>
      <c r="C762" s="195" t="s">
        <v>1471</v>
      </c>
      <c r="D762" s="196">
        <v>1.05</v>
      </c>
      <c r="E762" s="194" t="str">
        <f t="shared" si="11"/>
        <v>level III</v>
      </c>
    </row>
    <row r="763" spans="1:5" x14ac:dyDescent="0.15">
      <c r="A763" s="194">
        <v>5948</v>
      </c>
      <c r="B763" s="195" t="s">
        <v>1420</v>
      </c>
      <c r="C763" s="195" t="s">
        <v>1472</v>
      </c>
      <c r="D763" s="196">
        <v>1.05</v>
      </c>
      <c r="E763" s="194" t="str">
        <f t="shared" si="11"/>
        <v>level III</v>
      </c>
    </row>
    <row r="764" spans="1:5" x14ac:dyDescent="0.15">
      <c r="A764" s="194">
        <v>5949</v>
      </c>
      <c r="B764" s="195" t="s">
        <v>1420</v>
      </c>
      <c r="C764" s="195" t="s">
        <v>1473</v>
      </c>
      <c r="D764" s="196">
        <v>1.05</v>
      </c>
      <c r="E764" s="194" t="str">
        <f t="shared" si="11"/>
        <v>level III</v>
      </c>
    </row>
    <row r="765" spans="1:5" x14ac:dyDescent="0.15">
      <c r="A765" s="194">
        <v>5961</v>
      </c>
      <c r="B765" s="195" t="s">
        <v>1420</v>
      </c>
      <c r="C765" s="195" t="s">
        <v>1474</v>
      </c>
      <c r="D765" s="196">
        <v>1.05</v>
      </c>
      <c r="E765" s="194" t="str">
        <f t="shared" si="11"/>
        <v>level III</v>
      </c>
    </row>
    <row r="766" spans="1:5" x14ac:dyDescent="0.15">
      <c r="A766" s="194">
        <v>5962</v>
      </c>
      <c r="B766" s="195" t="s">
        <v>1420</v>
      </c>
      <c r="C766" s="195" t="s">
        <v>1475</v>
      </c>
      <c r="D766" s="196">
        <v>1.05</v>
      </c>
      <c r="E766" s="194" t="str">
        <f t="shared" si="11"/>
        <v>level III</v>
      </c>
    </row>
    <row r="767" spans="1:5" x14ac:dyDescent="0.15">
      <c r="A767" s="194">
        <v>5963</v>
      </c>
      <c r="B767" s="195" t="s">
        <v>1420</v>
      </c>
      <c r="C767" s="195" t="s">
        <v>1476</v>
      </c>
      <c r="D767" s="196">
        <v>1.05</v>
      </c>
      <c r="E767" s="194" t="str">
        <f t="shared" si="11"/>
        <v>level III</v>
      </c>
    </row>
    <row r="768" spans="1:5" x14ac:dyDescent="0.15">
      <c r="A768" s="194">
        <v>5983</v>
      </c>
      <c r="B768" s="195" t="s">
        <v>1420</v>
      </c>
      <c r="C768" s="195" t="s">
        <v>1477</v>
      </c>
      <c r="D768" s="196">
        <v>1.05</v>
      </c>
      <c r="E768" s="194" t="str">
        <f t="shared" si="11"/>
        <v>level III</v>
      </c>
    </row>
    <row r="769" spans="1:5" x14ac:dyDescent="0.15">
      <c r="A769" s="194">
        <v>5984</v>
      </c>
      <c r="B769" s="195" t="s">
        <v>1420</v>
      </c>
      <c r="C769" s="195" t="s">
        <v>1478</v>
      </c>
      <c r="D769" s="196">
        <v>1.05</v>
      </c>
      <c r="E769" s="194" t="str">
        <f t="shared" si="11"/>
        <v>level III</v>
      </c>
    </row>
    <row r="770" spans="1:5" x14ac:dyDescent="0.15">
      <c r="A770" s="194">
        <v>5989</v>
      </c>
      <c r="B770" s="195" t="s">
        <v>1420</v>
      </c>
      <c r="C770" s="195" t="s">
        <v>1479</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1420</v>
      </c>
      <c r="C771" s="195" t="s">
        <v>1480</v>
      </c>
      <c r="D771" s="196">
        <v>1.05</v>
      </c>
      <c r="E771" s="194" t="str">
        <f t="shared" si="12"/>
        <v>level III</v>
      </c>
    </row>
    <row r="772" spans="1:5" x14ac:dyDescent="0.15">
      <c r="A772" s="194">
        <v>5993</v>
      </c>
      <c r="B772" s="195" t="s">
        <v>1420</v>
      </c>
      <c r="C772" s="195" t="s">
        <v>1481</v>
      </c>
      <c r="D772" s="196">
        <v>1.05</v>
      </c>
      <c r="E772" s="194" t="str">
        <f t="shared" si="12"/>
        <v>level III</v>
      </c>
    </row>
    <row r="773" spans="1:5" x14ac:dyDescent="0.15">
      <c r="A773" s="194">
        <v>5994</v>
      </c>
      <c r="B773" s="195" t="s">
        <v>1420</v>
      </c>
      <c r="C773" s="195" t="s">
        <v>1482</v>
      </c>
      <c r="D773" s="196">
        <v>1.05</v>
      </c>
      <c r="E773" s="194" t="str">
        <f t="shared" si="12"/>
        <v>level III</v>
      </c>
    </row>
    <row r="774" spans="1:5" x14ac:dyDescent="0.15">
      <c r="A774" s="194">
        <v>5995</v>
      </c>
      <c r="B774" s="195" t="s">
        <v>1420</v>
      </c>
      <c r="C774" s="195" t="s">
        <v>1483</v>
      </c>
      <c r="D774" s="196">
        <v>1.05</v>
      </c>
      <c r="E774" s="194" t="str">
        <f t="shared" si="12"/>
        <v>level III</v>
      </c>
    </row>
    <row r="775" spans="1:5" x14ac:dyDescent="0.15">
      <c r="A775" s="194">
        <v>5999</v>
      </c>
      <c r="B775" s="195" t="s">
        <v>1420</v>
      </c>
      <c r="C775" s="195" t="s">
        <v>1484</v>
      </c>
      <c r="D775" s="196">
        <v>1.05</v>
      </c>
      <c r="E775" s="194" t="str">
        <f t="shared" si="12"/>
        <v>level III</v>
      </c>
    </row>
    <row r="776" spans="1:5" x14ac:dyDescent="0.15">
      <c r="A776" s="194">
        <v>6011</v>
      </c>
      <c r="B776" s="195" t="s">
        <v>1485</v>
      </c>
      <c r="C776" s="195" t="s">
        <v>1486</v>
      </c>
      <c r="D776" s="196">
        <v>1</v>
      </c>
      <c r="E776" s="194" t="str">
        <f t="shared" si="12"/>
        <v>level II</v>
      </c>
    </row>
    <row r="777" spans="1:5" x14ac:dyDescent="0.15">
      <c r="A777" s="194">
        <v>6019</v>
      </c>
      <c r="B777" s="195" t="s">
        <v>1485</v>
      </c>
      <c r="C777" s="195" t="s">
        <v>1487</v>
      </c>
      <c r="D777" s="196">
        <v>1</v>
      </c>
      <c r="E777" s="194" t="str">
        <f t="shared" si="12"/>
        <v>level II</v>
      </c>
    </row>
    <row r="778" spans="1:5" x14ac:dyDescent="0.15">
      <c r="A778" s="194">
        <v>6021</v>
      </c>
      <c r="B778" s="195" t="s">
        <v>1485</v>
      </c>
      <c r="C778" s="195" t="s">
        <v>1488</v>
      </c>
      <c r="D778" s="196">
        <v>1</v>
      </c>
      <c r="E778" s="194" t="str">
        <f t="shared" si="12"/>
        <v>level II</v>
      </c>
    </row>
    <row r="779" spans="1:5" x14ac:dyDescent="0.15">
      <c r="A779" s="194">
        <v>6022</v>
      </c>
      <c r="B779" s="195" t="s">
        <v>1485</v>
      </c>
      <c r="C779" s="195" t="s">
        <v>1489</v>
      </c>
      <c r="D779" s="196">
        <v>1</v>
      </c>
      <c r="E779" s="194" t="str">
        <f t="shared" si="12"/>
        <v>level II</v>
      </c>
    </row>
    <row r="780" spans="1:5" x14ac:dyDescent="0.15">
      <c r="A780" s="194">
        <v>6029</v>
      </c>
      <c r="B780" s="195" t="s">
        <v>1485</v>
      </c>
      <c r="C780" s="195" t="s">
        <v>1490</v>
      </c>
      <c r="D780" s="196">
        <v>1</v>
      </c>
      <c r="E780" s="194" t="str">
        <f t="shared" si="12"/>
        <v>level II</v>
      </c>
    </row>
    <row r="781" spans="1:5" x14ac:dyDescent="0.15">
      <c r="A781" s="194">
        <v>6035</v>
      </c>
      <c r="B781" s="195" t="s">
        <v>1485</v>
      </c>
      <c r="C781" s="195" t="s">
        <v>1491</v>
      </c>
      <c r="D781" s="196">
        <v>1</v>
      </c>
      <c r="E781" s="194" t="str">
        <f t="shared" si="12"/>
        <v>level II</v>
      </c>
    </row>
    <row r="782" spans="1:5" x14ac:dyDescent="0.15">
      <c r="A782" s="194">
        <v>6036</v>
      </c>
      <c r="B782" s="195" t="s">
        <v>1485</v>
      </c>
      <c r="C782" s="195" t="s">
        <v>1492</v>
      </c>
      <c r="D782" s="196">
        <v>1</v>
      </c>
      <c r="E782" s="194" t="str">
        <f t="shared" si="12"/>
        <v>level II</v>
      </c>
    </row>
    <row r="783" spans="1:5" x14ac:dyDescent="0.15">
      <c r="A783" s="194">
        <v>6061</v>
      </c>
      <c r="B783" s="195" t="s">
        <v>1485</v>
      </c>
      <c r="C783" s="195" t="s">
        <v>1493</v>
      </c>
      <c r="D783" s="196">
        <v>1</v>
      </c>
      <c r="E783" s="194" t="str">
        <f t="shared" si="12"/>
        <v>level II</v>
      </c>
    </row>
    <row r="784" spans="1:5" x14ac:dyDescent="0.15">
      <c r="A784" s="194">
        <v>6062</v>
      </c>
      <c r="B784" s="195" t="s">
        <v>1485</v>
      </c>
      <c r="C784" s="195" t="s">
        <v>1494</v>
      </c>
      <c r="D784" s="196">
        <v>1</v>
      </c>
      <c r="E784" s="194" t="str">
        <f t="shared" si="12"/>
        <v>level II</v>
      </c>
    </row>
    <row r="785" spans="1:5" x14ac:dyDescent="0.15">
      <c r="A785" s="194">
        <v>6081</v>
      </c>
      <c r="B785" s="195" t="s">
        <v>1485</v>
      </c>
      <c r="C785" s="195" t="s">
        <v>1495</v>
      </c>
      <c r="D785" s="196">
        <v>1</v>
      </c>
      <c r="E785" s="194" t="str">
        <f t="shared" si="12"/>
        <v>level II</v>
      </c>
    </row>
    <row r="786" spans="1:5" x14ac:dyDescent="0.15">
      <c r="A786" s="194">
        <v>6082</v>
      </c>
      <c r="B786" s="195" t="s">
        <v>1485</v>
      </c>
      <c r="C786" s="195" t="s">
        <v>1496</v>
      </c>
      <c r="D786" s="196">
        <v>1</v>
      </c>
      <c r="E786" s="194" t="str">
        <f t="shared" si="12"/>
        <v>level II</v>
      </c>
    </row>
    <row r="787" spans="1:5" x14ac:dyDescent="0.15">
      <c r="A787" s="194">
        <v>6091</v>
      </c>
      <c r="B787" s="195" t="s">
        <v>1485</v>
      </c>
      <c r="C787" s="195" t="s">
        <v>1497</v>
      </c>
      <c r="D787" s="196">
        <v>1</v>
      </c>
      <c r="E787" s="194" t="str">
        <f t="shared" si="12"/>
        <v>level II</v>
      </c>
    </row>
    <row r="788" spans="1:5" x14ac:dyDescent="0.15">
      <c r="A788" s="194">
        <v>6099</v>
      </c>
      <c r="B788" s="195" t="s">
        <v>1485</v>
      </c>
      <c r="C788" s="195" t="s">
        <v>1498</v>
      </c>
      <c r="D788" s="196">
        <v>1</v>
      </c>
      <c r="E788" s="194" t="str">
        <f t="shared" si="12"/>
        <v>level II</v>
      </c>
    </row>
    <row r="789" spans="1:5" x14ac:dyDescent="0.15">
      <c r="A789" s="194">
        <v>6111</v>
      </c>
      <c r="B789" s="195" t="s">
        <v>1485</v>
      </c>
      <c r="C789" s="195" t="s">
        <v>1499</v>
      </c>
      <c r="D789" s="196">
        <v>1</v>
      </c>
      <c r="E789" s="194" t="str">
        <f t="shared" si="12"/>
        <v>level II</v>
      </c>
    </row>
    <row r="790" spans="1:5" x14ac:dyDescent="0.15">
      <c r="A790" s="194">
        <v>6141</v>
      </c>
      <c r="B790" s="195" t="s">
        <v>1485</v>
      </c>
      <c r="C790" s="195" t="s">
        <v>1500</v>
      </c>
      <c r="D790" s="196">
        <v>1</v>
      </c>
      <c r="E790" s="194" t="str">
        <f t="shared" si="12"/>
        <v>level II</v>
      </c>
    </row>
    <row r="791" spans="1:5" x14ac:dyDescent="0.15">
      <c r="A791" s="194">
        <v>6153</v>
      </c>
      <c r="B791" s="195" t="s">
        <v>1485</v>
      </c>
      <c r="C791" s="195" t="s">
        <v>1501</v>
      </c>
      <c r="D791" s="196">
        <v>1</v>
      </c>
      <c r="E791" s="194" t="str">
        <f t="shared" si="12"/>
        <v>level II</v>
      </c>
    </row>
    <row r="792" spans="1:5" x14ac:dyDescent="0.15">
      <c r="A792" s="194">
        <v>6159</v>
      </c>
      <c r="B792" s="195" t="s">
        <v>1485</v>
      </c>
      <c r="C792" s="195" t="s">
        <v>1502</v>
      </c>
      <c r="D792" s="196">
        <v>1</v>
      </c>
      <c r="E792" s="194" t="str">
        <f t="shared" si="12"/>
        <v>level II</v>
      </c>
    </row>
    <row r="793" spans="1:5" x14ac:dyDescent="0.15">
      <c r="A793" s="194">
        <v>6162</v>
      </c>
      <c r="B793" s="195" t="s">
        <v>1485</v>
      </c>
      <c r="C793" s="195" t="s">
        <v>1503</v>
      </c>
      <c r="D793" s="196">
        <v>1</v>
      </c>
      <c r="E793" s="194" t="str">
        <f t="shared" si="12"/>
        <v>level II</v>
      </c>
    </row>
    <row r="794" spans="1:5" x14ac:dyDescent="0.15">
      <c r="A794" s="194">
        <v>6163</v>
      </c>
      <c r="B794" s="195" t="s">
        <v>1485</v>
      </c>
      <c r="C794" s="195" t="s">
        <v>1504</v>
      </c>
      <c r="D794" s="196">
        <v>1</v>
      </c>
      <c r="E794" s="194" t="str">
        <f t="shared" si="12"/>
        <v>level II</v>
      </c>
    </row>
    <row r="795" spans="1:5" x14ac:dyDescent="0.15">
      <c r="A795" s="194">
        <v>6211</v>
      </c>
      <c r="B795" s="195" t="s">
        <v>1485</v>
      </c>
      <c r="C795" s="195" t="s">
        <v>1505</v>
      </c>
      <c r="D795" s="196">
        <v>1.1499999999999999</v>
      </c>
      <c r="E795" s="194" t="str">
        <f t="shared" si="12"/>
        <v>level V</v>
      </c>
    </row>
    <row r="796" spans="1:5" x14ac:dyDescent="0.15">
      <c r="A796" s="194">
        <v>6221</v>
      </c>
      <c r="B796" s="195" t="s">
        <v>1485</v>
      </c>
      <c r="C796" s="195" t="s">
        <v>1506</v>
      </c>
      <c r="D796" s="196">
        <v>1.1499999999999999</v>
      </c>
      <c r="E796" s="194" t="str">
        <f t="shared" si="12"/>
        <v>level V</v>
      </c>
    </row>
    <row r="797" spans="1:5" x14ac:dyDescent="0.15">
      <c r="A797" s="194">
        <v>6231</v>
      </c>
      <c r="B797" s="195" t="s">
        <v>1485</v>
      </c>
      <c r="C797" s="195" t="s">
        <v>1507</v>
      </c>
      <c r="D797" s="196">
        <v>1.1499999999999999</v>
      </c>
      <c r="E797" s="194" t="str">
        <f t="shared" si="12"/>
        <v>level V</v>
      </c>
    </row>
    <row r="798" spans="1:5" x14ac:dyDescent="0.15">
      <c r="A798" s="194">
        <v>6282</v>
      </c>
      <c r="B798" s="195" t="s">
        <v>1485</v>
      </c>
      <c r="C798" s="195" t="s">
        <v>1508</v>
      </c>
      <c r="D798" s="196">
        <v>1.1499999999999999</v>
      </c>
      <c r="E798" s="194" t="str">
        <f t="shared" si="12"/>
        <v>level V</v>
      </c>
    </row>
    <row r="799" spans="1:5" x14ac:dyDescent="0.15">
      <c r="A799" s="194">
        <v>6289</v>
      </c>
      <c r="B799" s="195" t="s">
        <v>1485</v>
      </c>
      <c r="C799" s="195" t="s">
        <v>1509</v>
      </c>
      <c r="D799" s="196">
        <v>1.1499999999999999</v>
      </c>
      <c r="E799" s="194" t="str">
        <f t="shared" si="12"/>
        <v>level V</v>
      </c>
    </row>
    <row r="800" spans="1:5" x14ac:dyDescent="0.15">
      <c r="A800" s="194">
        <v>6311</v>
      </c>
      <c r="B800" s="195" t="s">
        <v>1485</v>
      </c>
      <c r="C800" s="195" t="s">
        <v>1510</v>
      </c>
      <c r="D800" s="196">
        <v>1</v>
      </c>
      <c r="E800" s="194" t="str">
        <f t="shared" si="12"/>
        <v>level II</v>
      </c>
    </row>
    <row r="801" spans="1:5" x14ac:dyDescent="0.15">
      <c r="A801" s="194">
        <v>6321</v>
      </c>
      <c r="B801" s="195" t="s">
        <v>1485</v>
      </c>
      <c r="C801" s="195" t="s">
        <v>1511</v>
      </c>
      <c r="D801" s="196">
        <v>1</v>
      </c>
      <c r="E801" s="194" t="str">
        <f t="shared" si="12"/>
        <v>level II</v>
      </c>
    </row>
    <row r="802" spans="1:5" x14ac:dyDescent="0.15">
      <c r="A802" s="194">
        <v>6324</v>
      </c>
      <c r="B802" s="195" t="s">
        <v>1485</v>
      </c>
      <c r="C802" s="195" t="s">
        <v>1512</v>
      </c>
      <c r="D802" s="196">
        <v>1</v>
      </c>
      <c r="E802" s="194" t="str">
        <f t="shared" si="12"/>
        <v>level II</v>
      </c>
    </row>
    <row r="803" spans="1:5" x14ac:dyDescent="0.15">
      <c r="A803" s="194">
        <v>6331</v>
      </c>
      <c r="B803" s="195" t="s">
        <v>1485</v>
      </c>
      <c r="C803" s="195" t="s">
        <v>1513</v>
      </c>
      <c r="D803" s="196">
        <v>1</v>
      </c>
      <c r="E803" s="194" t="str">
        <f t="shared" si="12"/>
        <v>level II</v>
      </c>
    </row>
    <row r="804" spans="1:5" x14ac:dyDescent="0.15">
      <c r="A804" s="194">
        <v>6351</v>
      </c>
      <c r="B804" s="195" t="s">
        <v>1485</v>
      </c>
      <c r="C804" s="195" t="s">
        <v>1514</v>
      </c>
      <c r="D804" s="196">
        <v>1</v>
      </c>
      <c r="E804" s="194" t="str">
        <f t="shared" si="12"/>
        <v>level II</v>
      </c>
    </row>
    <row r="805" spans="1:5" x14ac:dyDescent="0.15">
      <c r="A805" s="194">
        <v>6361</v>
      </c>
      <c r="B805" s="195" t="s">
        <v>1485</v>
      </c>
      <c r="C805" s="195" t="s">
        <v>1515</v>
      </c>
      <c r="D805" s="196">
        <v>1</v>
      </c>
      <c r="E805" s="194" t="str">
        <f t="shared" si="12"/>
        <v>level II</v>
      </c>
    </row>
    <row r="806" spans="1:5" x14ac:dyDescent="0.15">
      <c r="A806" s="194">
        <v>6371</v>
      </c>
      <c r="B806" s="195" t="s">
        <v>1485</v>
      </c>
      <c r="C806" s="195" t="s">
        <v>1516</v>
      </c>
      <c r="D806" s="196">
        <v>1</v>
      </c>
      <c r="E806" s="194" t="str">
        <f t="shared" si="12"/>
        <v>level II</v>
      </c>
    </row>
    <row r="807" spans="1:5" x14ac:dyDescent="0.15">
      <c r="A807" s="194">
        <v>6399</v>
      </c>
      <c r="B807" s="195" t="s">
        <v>1485</v>
      </c>
      <c r="C807" s="195" t="s">
        <v>1517</v>
      </c>
      <c r="D807" s="196">
        <v>1</v>
      </c>
      <c r="E807" s="194" t="str">
        <f t="shared" si="12"/>
        <v>level II</v>
      </c>
    </row>
    <row r="808" spans="1:5" x14ac:dyDescent="0.15">
      <c r="A808" s="194">
        <v>6411</v>
      </c>
      <c r="B808" s="195" t="s">
        <v>1485</v>
      </c>
      <c r="C808" s="195" t="s">
        <v>1518</v>
      </c>
      <c r="D808" s="196">
        <v>1.05</v>
      </c>
      <c r="E808" s="194" t="str">
        <f t="shared" si="12"/>
        <v>level III</v>
      </c>
    </row>
    <row r="809" spans="1:5" x14ac:dyDescent="0.15">
      <c r="A809" s="194">
        <v>6512</v>
      </c>
      <c r="B809" s="195" t="s">
        <v>1485</v>
      </c>
      <c r="C809" s="195" t="s">
        <v>1519</v>
      </c>
      <c r="D809" s="196">
        <v>1.05</v>
      </c>
      <c r="E809" s="194" t="str">
        <f t="shared" si="12"/>
        <v>level III</v>
      </c>
    </row>
    <row r="810" spans="1:5" x14ac:dyDescent="0.15">
      <c r="A810" s="194">
        <v>6513</v>
      </c>
      <c r="B810" s="195" t="s">
        <v>1485</v>
      </c>
      <c r="C810" s="195" t="s">
        <v>1520</v>
      </c>
      <c r="D810" s="196">
        <v>1.05</v>
      </c>
      <c r="E810" s="194" t="str">
        <f t="shared" si="12"/>
        <v>level III</v>
      </c>
    </row>
    <row r="811" spans="1:5" x14ac:dyDescent="0.15">
      <c r="A811" s="194">
        <v>6514</v>
      </c>
      <c r="B811" s="195" t="s">
        <v>1485</v>
      </c>
      <c r="C811" s="195" t="s">
        <v>1521</v>
      </c>
      <c r="D811" s="196">
        <v>1.05</v>
      </c>
      <c r="E811" s="194" t="str">
        <f t="shared" si="12"/>
        <v>level III</v>
      </c>
    </row>
    <row r="812" spans="1:5" x14ac:dyDescent="0.15">
      <c r="A812" s="194">
        <v>6515</v>
      </c>
      <c r="B812" s="195" t="s">
        <v>1485</v>
      </c>
      <c r="C812" s="195" t="s">
        <v>1522</v>
      </c>
      <c r="D812" s="196">
        <v>1.05</v>
      </c>
      <c r="E812" s="194" t="str">
        <f t="shared" si="12"/>
        <v>level III</v>
      </c>
    </row>
    <row r="813" spans="1:5" x14ac:dyDescent="0.15">
      <c r="A813" s="194">
        <v>6517</v>
      </c>
      <c r="B813" s="195" t="s">
        <v>1485</v>
      </c>
      <c r="C813" s="195" t="s">
        <v>1523</v>
      </c>
      <c r="D813" s="196">
        <v>1.05</v>
      </c>
      <c r="E813" s="194" t="str">
        <f t="shared" si="12"/>
        <v>level III</v>
      </c>
    </row>
    <row r="814" spans="1:5" x14ac:dyDescent="0.15">
      <c r="A814" s="194">
        <v>6519</v>
      </c>
      <c r="B814" s="195" t="s">
        <v>1485</v>
      </c>
      <c r="C814" s="195" t="s">
        <v>1524</v>
      </c>
      <c r="D814" s="196">
        <v>1.05</v>
      </c>
      <c r="E814" s="194" t="str">
        <f t="shared" si="12"/>
        <v>level III</v>
      </c>
    </row>
    <row r="815" spans="1:5" x14ac:dyDescent="0.15">
      <c r="A815" s="194">
        <v>6531</v>
      </c>
      <c r="B815" s="195" t="s">
        <v>1485</v>
      </c>
      <c r="C815" s="195" t="s">
        <v>1525</v>
      </c>
      <c r="D815" s="196">
        <v>1.05</v>
      </c>
      <c r="E815" s="194" t="str">
        <f t="shared" si="12"/>
        <v>level III</v>
      </c>
    </row>
    <row r="816" spans="1:5" x14ac:dyDescent="0.15">
      <c r="A816" s="194">
        <v>6552</v>
      </c>
      <c r="B816" s="195" t="s">
        <v>1485</v>
      </c>
      <c r="C816" s="195" t="s">
        <v>1526</v>
      </c>
      <c r="D816" s="196">
        <v>1.05</v>
      </c>
      <c r="E816" s="194" t="str">
        <f t="shared" si="12"/>
        <v>level III</v>
      </c>
    </row>
    <row r="817" spans="1:5" x14ac:dyDescent="0.15">
      <c r="A817" s="194">
        <v>6553</v>
      </c>
      <c r="B817" s="195" t="s">
        <v>1485</v>
      </c>
      <c r="C817" s="195" t="s">
        <v>1527</v>
      </c>
      <c r="D817" s="196">
        <v>1.05</v>
      </c>
      <c r="E817" s="194" t="str">
        <f t="shared" si="12"/>
        <v>level III</v>
      </c>
    </row>
    <row r="818" spans="1:5" x14ac:dyDescent="0.15">
      <c r="A818" s="194">
        <v>6712</v>
      </c>
      <c r="B818" s="195" t="s">
        <v>1485</v>
      </c>
      <c r="C818" s="195" t="s">
        <v>1528</v>
      </c>
      <c r="D818" s="196">
        <v>1</v>
      </c>
      <c r="E818" s="194" t="str">
        <f t="shared" si="12"/>
        <v>level II</v>
      </c>
    </row>
    <row r="819" spans="1:5" x14ac:dyDescent="0.15">
      <c r="A819" s="194">
        <v>6719</v>
      </c>
      <c r="B819" s="195" t="s">
        <v>1485</v>
      </c>
      <c r="C819" s="195" t="s">
        <v>1529</v>
      </c>
      <c r="D819" s="196">
        <v>1</v>
      </c>
      <c r="E819" s="194" t="str">
        <f t="shared" si="12"/>
        <v>level II</v>
      </c>
    </row>
    <row r="820" spans="1:5" x14ac:dyDescent="0.15">
      <c r="A820" s="194">
        <v>6722</v>
      </c>
      <c r="B820" s="195" t="s">
        <v>1485</v>
      </c>
      <c r="C820" s="195" t="s">
        <v>1530</v>
      </c>
      <c r="D820" s="196">
        <v>1</v>
      </c>
      <c r="E820" s="194" t="str">
        <f t="shared" si="12"/>
        <v>level II</v>
      </c>
    </row>
    <row r="821" spans="1:5" x14ac:dyDescent="0.15">
      <c r="A821" s="194">
        <v>6726</v>
      </c>
      <c r="B821" s="195" t="s">
        <v>1485</v>
      </c>
      <c r="C821" s="195" t="s">
        <v>1531</v>
      </c>
      <c r="D821" s="196">
        <v>1</v>
      </c>
      <c r="E821" s="194" t="str">
        <f t="shared" si="12"/>
        <v>level II</v>
      </c>
    </row>
    <row r="822" spans="1:5" x14ac:dyDescent="0.15">
      <c r="A822" s="194">
        <v>6732</v>
      </c>
      <c r="B822" s="195" t="s">
        <v>1485</v>
      </c>
      <c r="C822" s="195" t="s">
        <v>1532</v>
      </c>
      <c r="D822" s="196">
        <v>1</v>
      </c>
      <c r="E822" s="194" t="str">
        <f t="shared" si="12"/>
        <v>level II</v>
      </c>
    </row>
    <row r="823" spans="1:5" x14ac:dyDescent="0.15">
      <c r="A823" s="194">
        <v>6733</v>
      </c>
      <c r="B823" s="195" t="s">
        <v>1485</v>
      </c>
      <c r="C823" s="195" t="s">
        <v>1533</v>
      </c>
      <c r="D823" s="196">
        <v>1</v>
      </c>
      <c r="E823" s="194" t="str">
        <f t="shared" si="12"/>
        <v>level II</v>
      </c>
    </row>
    <row r="824" spans="1:5" x14ac:dyDescent="0.15">
      <c r="A824" s="194">
        <v>6792</v>
      </c>
      <c r="B824" s="195" t="s">
        <v>1485</v>
      </c>
      <c r="C824" s="195" t="s">
        <v>1534</v>
      </c>
      <c r="D824" s="196">
        <v>1</v>
      </c>
      <c r="E824" s="194" t="str">
        <f t="shared" si="12"/>
        <v>level II</v>
      </c>
    </row>
    <row r="825" spans="1:5" x14ac:dyDescent="0.15">
      <c r="A825" s="194">
        <v>6794</v>
      </c>
      <c r="B825" s="195" t="s">
        <v>1485</v>
      </c>
      <c r="C825" s="195" t="s">
        <v>1535</v>
      </c>
      <c r="D825" s="196">
        <v>1</v>
      </c>
      <c r="E825" s="194" t="str">
        <f t="shared" si="12"/>
        <v>level II</v>
      </c>
    </row>
    <row r="826" spans="1:5" x14ac:dyDescent="0.15">
      <c r="A826" s="194">
        <v>6798</v>
      </c>
      <c r="B826" s="195" t="s">
        <v>1485</v>
      </c>
      <c r="C826" s="195" t="s">
        <v>1536</v>
      </c>
      <c r="D826" s="196">
        <v>1</v>
      </c>
      <c r="E826" s="194" t="str">
        <f t="shared" si="12"/>
        <v>level II</v>
      </c>
    </row>
    <row r="827" spans="1:5" x14ac:dyDescent="0.15">
      <c r="A827" s="194">
        <v>6799</v>
      </c>
      <c r="B827" s="195" t="s">
        <v>1485</v>
      </c>
      <c r="C827" s="195" t="s">
        <v>1537</v>
      </c>
      <c r="D827" s="196">
        <v>1</v>
      </c>
      <c r="E827" s="194" t="str">
        <f t="shared" si="12"/>
        <v>level II</v>
      </c>
    </row>
    <row r="828" spans="1:5" x14ac:dyDescent="0.15">
      <c r="A828" s="194">
        <v>7011</v>
      </c>
      <c r="B828" s="195" t="s">
        <v>1538</v>
      </c>
      <c r="C828" s="195" t="s">
        <v>1539</v>
      </c>
      <c r="D828" s="196">
        <v>1.2</v>
      </c>
      <c r="E828" s="194" t="str">
        <f t="shared" si="12"/>
        <v>level VI</v>
      </c>
    </row>
    <row r="829" spans="1:5" x14ac:dyDescent="0.15">
      <c r="A829" s="194">
        <v>7021</v>
      </c>
      <c r="B829" s="195" t="s">
        <v>1538</v>
      </c>
      <c r="C829" s="195" t="s">
        <v>1540</v>
      </c>
      <c r="D829" s="196">
        <v>1.2</v>
      </c>
      <c r="E829" s="194" t="str">
        <f t="shared" si="12"/>
        <v>level VI</v>
      </c>
    </row>
    <row r="830" spans="1:5" x14ac:dyDescent="0.15">
      <c r="A830" s="194">
        <v>7032</v>
      </c>
      <c r="B830" s="195" t="s">
        <v>1538</v>
      </c>
      <c r="C830" s="195" t="s">
        <v>1541</v>
      </c>
      <c r="D830" s="196">
        <v>1.2</v>
      </c>
      <c r="E830" s="194" t="str">
        <f t="shared" si="12"/>
        <v>level VI</v>
      </c>
    </row>
    <row r="831" spans="1:5" x14ac:dyDescent="0.15">
      <c r="A831" s="194">
        <v>7033</v>
      </c>
      <c r="B831" s="195" t="s">
        <v>1538</v>
      </c>
      <c r="C831" s="195" t="s">
        <v>1542</v>
      </c>
      <c r="D831" s="196">
        <v>1.2</v>
      </c>
      <c r="E831" s="194" t="str">
        <f t="shared" si="12"/>
        <v>level VI</v>
      </c>
    </row>
    <row r="832" spans="1:5" x14ac:dyDescent="0.15">
      <c r="A832" s="194">
        <v>7041</v>
      </c>
      <c r="B832" s="195" t="s">
        <v>1538</v>
      </c>
      <c r="C832" s="195" t="s">
        <v>1543</v>
      </c>
      <c r="D832" s="196">
        <v>1.2</v>
      </c>
      <c r="E832" s="194" t="str">
        <f t="shared" si="12"/>
        <v>level VI</v>
      </c>
    </row>
    <row r="833" spans="1:5" x14ac:dyDescent="0.15">
      <c r="A833" s="194">
        <v>7211</v>
      </c>
      <c r="B833" s="195" t="s">
        <v>1538</v>
      </c>
      <c r="C833" s="195" t="s">
        <v>1544</v>
      </c>
      <c r="D833" s="196">
        <v>1.2</v>
      </c>
      <c r="E833" s="194" t="str">
        <f t="shared" si="12"/>
        <v>level VI</v>
      </c>
    </row>
    <row r="834" spans="1:5" x14ac:dyDescent="0.15">
      <c r="A834" s="194">
        <v>7212</v>
      </c>
      <c r="B834" s="195" t="s">
        <v>1538</v>
      </c>
      <c r="C834" s="195" t="s">
        <v>1545</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1538</v>
      </c>
      <c r="C835" s="195" t="s">
        <v>1546</v>
      </c>
      <c r="D835" s="196">
        <v>1.2</v>
      </c>
      <c r="E835" s="194" t="str">
        <f t="shared" si="13"/>
        <v>level VI</v>
      </c>
    </row>
    <row r="836" spans="1:5" x14ac:dyDescent="0.15">
      <c r="A836" s="194">
        <v>7215</v>
      </c>
      <c r="B836" s="195" t="s">
        <v>1538</v>
      </c>
      <c r="C836" s="195" t="s">
        <v>1547</v>
      </c>
      <c r="D836" s="196">
        <v>1.2</v>
      </c>
      <c r="E836" s="194" t="str">
        <f t="shared" si="13"/>
        <v>level VI</v>
      </c>
    </row>
    <row r="837" spans="1:5" x14ac:dyDescent="0.15">
      <c r="A837" s="194">
        <v>7216</v>
      </c>
      <c r="B837" s="195" t="s">
        <v>1538</v>
      </c>
      <c r="C837" s="195" t="s">
        <v>1548</v>
      </c>
      <c r="D837" s="196">
        <v>1.2</v>
      </c>
      <c r="E837" s="194" t="str">
        <f t="shared" si="13"/>
        <v>level VI</v>
      </c>
    </row>
    <row r="838" spans="1:5" x14ac:dyDescent="0.15">
      <c r="A838" s="194">
        <v>7217</v>
      </c>
      <c r="B838" s="195" t="s">
        <v>1538</v>
      </c>
      <c r="C838" s="195" t="s">
        <v>1549</v>
      </c>
      <c r="D838" s="196">
        <v>1.2</v>
      </c>
      <c r="E838" s="194" t="str">
        <f t="shared" si="13"/>
        <v>level VI</v>
      </c>
    </row>
    <row r="839" spans="1:5" x14ac:dyDescent="0.15">
      <c r="A839" s="194">
        <v>7218</v>
      </c>
      <c r="B839" s="195" t="s">
        <v>1538</v>
      </c>
      <c r="C839" s="195" t="s">
        <v>1550</v>
      </c>
      <c r="D839" s="196">
        <v>1.2</v>
      </c>
      <c r="E839" s="194" t="str">
        <f t="shared" si="13"/>
        <v>level VI</v>
      </c>
    </row>
    <row r="840" spans="1:5" x14ac:dyDescent="0.15">
      <c r="A840" s="194">
        <v>7219</v>
      </c>
      <c r="B840" s="195" t="s">
        <v>1538</v>
      </c>
      <c r="C840" s="195" t="s">
        <v>1551</v>
      </c>
      <c r="D840" s="196">
        <v>1.2</v>
      </c>
      <c r="E840" s="194" t="str">
        <f t="shared" si="13"/>
        <v>level VI</v>
      </c>
    </row>
    <row r="841" spans="1:5" x14ac:dyDescent="0.15">
      <c r="A841" s="194">
        <v>7221</v>
      </c>
      <c r="B841" s="195" t="s">
        <v>1538</v>
      </c>
      <c r="C841" s="195" t="s">
        <v>1552</v>
      </c>
      <c r="D841" s="196">
        <v>1.2</v>
      </c>
      <c r="E841" s="194" t="str">
        <f t="shared" si="13"/>
        <v>level VI</v>
      </c>
    </row>
    <row r="842" spans="1:5" x14ac:dyDescent="0.15">
      <c r="A842" s="194">
        <v>7231</v>
      </c>
      <c r="B842" s="195" t="s">
        <v>1538</v>
      </c>
      <c r="C842" s="195" t="s">
        <v>1553</v>
      </c>
      <c r="D842" s="196">
        <v>1.2</v>
      </c>
      <c r="E842" s="194" t="str">
        <f t="shared" si="13"/>
        <v>level VI</v>
      </c>
    </row>
    <row r="843" spans="1:5" x14ac:dyDescent="0.15">
      <c r="A843" s="194">
        <v>7241</v>
      </c>
      <c r="B843" s="195" t="s">
        <v>1538</v>
      </c>
      <c r="C843" s="195" t="s">
        <v>1554</v>
      </c>
      <c r="D843" s="196">
        <v>1.2</v>
      </c>
      <c r="E843" s="194" t="str">
        <f t="shared" si="13"/>
        <v>level VI</v>
      </c>
    </row>
    <row r="844" spans="1:5" x14ac:dyDescent="0.15">
      <c r="A844" s="194">
        <v>7251</v>
      </c>
      <c r="B844" s="195" t="s">
        <v>1538</v>
      </c>
      <c r="C844" s="195" t="s">
        <v>1555</v>
      </c>
      <c r="D844" s="196">
        <v>1.2</v>
      </c>
      <c r="E844" s="194" t="str">
        <f t="shared" si="13"/>
        <v>level VI</v>
      </c>
    </row>
    <row r="845" spans="1:5" x14ac:dyDescent="0.15">
      <c r="A845" s="194">
        <v>7261</v>
      </c>
      <c r="B845" s="195" t="s">
        <v>1538</v>
      </c>
      <c r="C845" s="195" t="s">
        <v>1556</v>
      </c>
      <c r="D845" s="196">
        <v>1.2</v>
      </c>
      <c r="E845" s="194" t="str">
        <f t="shared" si="13"/>
        <v>level VI</v>
      </c>
    </row>
    <row r="846" spans="1:5" x14ac:dyDescent="0.15">
      <c r="A846" s="194">
        <v>7291</v>
      </c>
      <c r="B846" s="195" t="s">
        <v>1538</v>
      </c>
      <c r="C846" s="195" t="s">
        <v>1557</v>
      </c>
      <c r="D846" s="196">
        <v>1.2</v>
      </c>
      <c r="E846" s="194" t="str">
        <f t="shared" si="13"/>
        <v>level VI</v>
      </c>
    </row>
    <row r="847" spans="1:5" x14ac:dyDescent="0.15">
      <c r="A847" s="194">
        <v>7299</v>
      </c>
      <c r="B847" s="195" t="s">
        <v>1538</v>
      </c>
      <c r="C847" s="195" t="s">
        <v>1558</v>
      </c>
      <c r="D847" s="196">
        <v>1.2</v>
      </c>
      <c r="E847" s="194" t="str">
        <f t="shared" si="13"/>
        <v>level VI</v>
      </c>
    </row>
    <row r="848" spans="1:5" x14ac:dyDescent="0.15">
      <c r="A848" s="194">
        <v>7311</v>
      </c>
      <c r="B848" s="195" t="s">
        <v>1538</v>
      </c>
      <c r="C848" s="195" t="s">
        <v>1559</v>
      </c>
      <c r="D848" s="196">
        <v>1.05</v>
      </c>
      <c r="E848" s="194" t="str">
        <f t="shared" si="13"/>
        <v>level III</v>
      </c>
    </row>
    <row r="849" spans="1:5" x14ac:dyDescent="0.15">
      <c r="A849" s="194">
        <v>7312</v>
      </c>
      <c r="B849" s="195" t="s">
        <v>1538</v>
      </c>
      <c r="C849" s="195" t="s">
        <v>1560</v>
      </c>
      <c r="D849" s="196">
        <v>1.05</v>
      </c>
      <c r="E849" s="194" t="str">
        <f t="shared" si="13"/>
        <v>level III</v>
      </c>
    </row>
    <row r="850" spans="1:5" x14ac:dyDescent="0.15">
      <c r="A850" s="194">
        <v>7313</v>
      </c>
      <c r="B850" s="195" t="s">
        <v>1538</v>
      </c>
      <c r="C850" s="195" t="s">
        <v>1561</v>
      </c>
      <c r="D850" s="196">
        <v>1.05</v>
      </c>
      <c r="E850" s="194" t="str">
        <f t="shared" si="13"/>
        <v>level III</v>
      </c>
    </row>
    <row r="851" spans="1:5" x14ac:dyDescent="0.15">
      <c r="A851" s="194">
        <v>7319</v>
      </c>
      <c r="B851" s="195" t="s">
        <v>1538</v>
      </c>
      <c r="C851" s="195" t="s">
        <v>1562</v>
      </c>
      <c r="D851" s="196">
        <v>1.05</v>
      </c>
      <c r="E851" s="194" t="str">
        <f t="shared" si="13"/>
        <v>level III</v>
      </c>
    </row>
    <row r="852" spans="1:5" x14ac:dyDescent="0.15">
      <c r="A852" s="194">
        <v>7322</v>
      </c>
      <c r="B852" s="195" t="s">
        <v>1538</v>
      </c>
      <c r="C852" s="195" t="s">
        <v>1563</v>
      </c>
      <c r="D852" s="196">
        <v>1.05</v>
      </c>
      <c r="E852" s="194" t="str">
        <f t="shared" si="13"/>
        <v>level III</v>
      </c>
    </row>
    <row r="853" spans="1:5" x14ac:dyDescent="0.15">
      <c r="A853" s="194">
        <v>7323</v>
      </c>
      <c r="B853" s="195" t="s">
        <v>1538</v>
      </c>
      <c r="C853" s="195" t="s">
        <v>1564</v>
      </c>
      <c r="D853" s="196">
        <v>1.05</v>
      </c>
      <c r="E853" s="194" t="str">
        <f t="shared" si="13"/>
        <v>level III</v>
      </c>
    </row>
    <row r="854" spans="1:5" x14ac:dyDescent="0.15">
      <c r="A854" s="194">
        <v>7331</v>
      </c>
      <c r="B854" s="195" t="s">
        <v>1538</v>
      </c>
      <c r="C854" s="195" t="s">
        <v>1565</v>
      </c>
      <c r="D854" s="196">
        <v>1.05</v>
      </c>
      <c r="E854" s="194" t="str">
        <f t="shared" si="13"/>
        <v>level III</v>
      </c>
    </row>
    <row r="855" spans="1:5" x14ac:dyDescent="0.15">
      <c r="A855" s="194">
        <v>7334</v>
      </c>
      <c r="B855" s="195" t="s">
        <v>1538</v>
      </c>
      <c r="C855" s="195" t="s">
        <v>1566</v>
      </c>
      <c r="D855" s="196">
        <v>1.05</v>
      </c>
      <c r="E855" s="194" t="str">
        <f t="shared" si="13"/>
        <v>level III</v>
      </c>
    </row>
    <row r="856" spans="1:5" x14ac:dyDescent="0.15">
      <c r="A856" s="194">
        <v>7335</v>
      </c>
      <c r="B856" s="195" t="s">
        <v>1538</v>
      </c>
      <c r="C856" s="195" t="s">
        <v>1567</v>
      </c>
      <c r="D856" s="196">
        <v>1.05</v>
      </c>
      <c r="E856" s="194" t="str">
        <f t="shared" si="13"/>
        <v>level III</v>
      </c>
    </row>
    <row r="857" spans="1:5" x14ac:dyDescent="0.15">
      <c r="A857" s="194">
        <v>7336</v>
      </c>
      <c r="B857" s="195" t="s">
        <v>1538</v>
      </c>
      <c r="C857" s="195" t="s">
        <v>1568</v>
      </c>
      <c r="D857" s="196">
        <v>1.05</v>
      </c>
      <c r="E857" s="194" t="str">
        <f t="shared" si="13"/>
        <v>level III</v>
      </c>
    </row>
    <row r="858" spans="1:5" x14ac:dyDescent="0.15">
      <c r="A858" s="194">
        <v>7338</v>
      </c>
      <c r="B858" s="195" t="s">
        <v>1538</v>
      </c>
      <c r="C858" s="195" t="s">
        <v>1569</v>
      </c>
      <c r="D858" s="196">
        <v>1.05</v>
      </c>
      <c r="E858" s="194" t="str">
        <f t="shared" si="13"/>
        <v>level III</v>
      </c>
    </row>
    <row r="859" spans="1:5" x14ac:dyDescent="0.15">
      <c r="A859" s="194">
        <v>7342</v>
      </c>
      <c r="B859" s="195" t="s">
        <v>1538</v>
      </c>
      <c r="C859" s="195" t="s">
        <v>1570</v>
      </c>
      <c r="D859" s="196">
        <v>1.05</v>
      </c>
      <c r="E859" s="194" t="str">
        <f t="shared" si="13"/>
        <v>level III</v>
      </c>
    </row>
    <row r="860" spans="1:5" x14ac:dyDescent="0.15">
      <c r="A860" s="194">
        <v>7349</v>
      </c>
      <c r="B860" s="195" t="s">
        <v>1538</v>
      </c>
      <c r="C860" s="195" t="s">
        <v>1571</v>
      </c>
      <c r="D860" s="196">
        <v>1.05</v>
      </c>
      <c r="E860" s="194" t="str">
        <f t="shared" si="13"/>
        <v>level III</v>
      </c>
    </row>
    <row r="861" spans="1:5" x14ac:dyDescent="0.15">
      <c r="A861" s="194">
        <v>7352</v>
      </c>
      <c r="B861" s="195" t="s">
        <v>1538</v>
      </c>
      <c r="C861" s="195" t="s">
        <v>1572</v>
      </c>
      <c r="D861" s="196">
        <v>1.05</v>
      </c>
      <c r="E861" s="194" t="str">
        <f t="shared" si="13"/>
        <v>level III</v>
      </c>
    </row>
    <row r="862" spans="1:5" x14ac:dyDescent="0.15">
      <c r="A862" s="194">
        <v>7353</v>
      </c>
      <c r="B862" s="195" t="s">
        <v>1538</v>
      </c>
      <c r="C862" s="195" t="s">
        <v>1573</v>
      </c>
      <c r="D862" s="196">
        <v>1.05</v>
      </c>
      <c r="E862" s="194" t="str">
        <f t="shared" si="13"/>
        <v>level III</v>
      </c>
    </row>
    <row r="863" spans="1:5" x14ac:dyDescent="0.15">
      <c r="A863" s="194">
        <v>7359</v>
      </c>
      <c r="B863" s="195" t="s">
        <v>1538</v>
      </c>
      <c r="C863" s="195" t="s">
        <v>1574</v>
      </c>
      <c r="D863" s="196">
        <v>1.05</v>
      </c>
      <c r="E863" s="194" t="str">
        <f t="shared" si="13"/>
        <v>level III</v>
      </c>
    </row>
    <row r="864" spans="1:5" x14ac:dyDescent="0.15">
      <c r="A864" s="194">
        <v>7361</v>
      </c>
      <c r="B864" s="195" t="s">
        <v>1538</v>
      </c>
      <c r="C864" s="195" t="s">
        <v>1575</v>
      </c>
      <c r="D864" s="196">
        <v>1.05</v>
      </c>
      <c r="E864" s="194" t="str">
        <f t="shared" si="13"/>
        <v>level III</v>
      </c>
    </row>
    <row r="865" spans="1:5" x14ac:dyDescent="0.15">
      <c r="A865" s="194">
        <v>7363</v>
      </c>
      <c r="B865" s="195" t="s">
        <v>1538</v>
      </c>
      <c r="C865" s="195" t="s">
        <v>1576</v>
      </c>
      <c r="D865" s="196">
        <v>1.05</v>
      </c>
      <c r="E865" s="194" t="str">
        <f t="shared" si="13"/>
        <v>level III</v>
      </c>
    </row>
    <row r="866" spans="1:5" x14ac:dyDescent="0.15">
      <c r="A866" s="194">
        <v>7371</v>
      </c>
      <c r="B866" s="195" t="s">
        <v>1538</v>
      </c>
      <c r="C866" s="195" t="s">
        <v>1577</v>
      </c>
      <c r="D866" s="196">
        <v>0.9</v>
      </c>
      <c r="E866" s="194" t="str">
        <f t="shared" si="13"/>
        <v>level 0</v>
      </c>
    </row>
    <row r="867" spans="1:5" x14ac:dyDescent="0.15">
      <c r="A867" s="194">
        <v>7372</v>
      </c>
      <c r="B867" s="195" t="s">
        <v>1538</v>
      </c>
      <c r="C867" s="195" t="s">
        <v>1578</v>
      </c>
      <c r="D867" s="196">
        <v>0.9</v>
      </c>
      <c r="E867" s="194" t="str">
        <f t="shared" si="13"/>
        <v>level 0</v>
      </c>
    </row>
    <row r="868" spans="1:5" x14ac:dyDescent="0.15">
      <c r="A868" s="194">
        <v>7373</v>
      </c>
      <c r="B868" s="195" t="s">
        <v>1538</v>
      </c>
      <c r="C868" s="195" t="s">
        <v>1579</v>
      </c>
      <c r="D868" s="196">
        <v>0.9</v>
      </c>
      <c r="E868" s="194" t="str">
        <f t="shared" si="13"/>
        <v>level 0</v>
      </c>
    </row>
    <row r="869" spans="1:5" x14ac:dyDescent="0.15">
      <c r="A869" s="194">
        <v>7374</v>
      </c>
      <c r="B869" s="195" t="s">
        <v>1538</v>
      </c>
      <c r="C869" s="195" t="s">
        <v>1580</v>
      </c>
      <c r="D869" s="196">
        <v>0.9</v>
      </c>
      <c r="E869" s="194" t="str">
        <f t="shared" si="13"/>
        <v>level 0</v>
      </c>
    </row>
    <row r="870" spans="1:5" x14ac:dyDescent="0.15">
      <c r="A870" s="194">
        <v>7375</v>
      </c>
      <c r="B870" s="195" t="s">
        <v>1538</v>
      </c>
      <c r="C870" s="195" t="s">
        <v>1581</v>
      </c>
      <c r="D870" s="196">
        <v>0.9</v>
      </c>
      <c r="E870" s="194" t="str">
        <f t="shared" si="13"/>
        <v>level 0</v>
      </c>
    </row>
    <row r="871" spans="1:5" x14ac:dyDescent="0.15">
      <c r="A871" s="194">
        <v>7376</v>
      </c>
      <c r="B871" s="195" t="s">
        <v>1538</v>
      </c>
      <c r="C871" s="195" t="s">
        <v>1582</v>
      </c>
      <c r="D871" s="196">
        <v>0.9</v>
      </c>
      <c r="E871" s="194" t="str">
        <f t="shared" si="13"/>
        <v>level 0</v>
      </c>
    </row>
    <row r="872" spans="1:5" x14ac:dyDescent="0.15">
      <c r="A872" s="194">
        <v>7377</v>
      </c>
      <c r="B872" s="195" t="s">
        <v>1538</v>
      </c>
      <c r="C872" s="195" t="s">
        <v>1583</v>
      </c>
      <c r="D872" s="196">
        <v>0.9</v>
      </c>
      <c r="E872" s="194" t="str">
        <f t="shared" si="13"/>
        <v>level 0</v>
      </c>
    </row>
    <row r="873" spans="1:5" x14ac:dyDescent="0.15">
      <c r="A873" s="194">
        <v>7378</v>
      </c>
      <c r="B873" s="195" t="s">
        <v>1538</v>
      </c>
      <c r="C873" s="195" t="s">
        <v>1584</v>
      </c>
      <c r="D873" s="196">
        <v>0.9</v>
      </c>
      <c r="E873" s="194" t="str">
        <f t="shared" si="13"/>
        <v>level 0</v>
      </c>
    </row>
    <row r="874" spans="1:5" x14ac:dyDescent="0.15">
      <c r="A874" s="194">
        <v>7379</v>
      </c>
      <c r="B874" s="195" t="s">
        <v>1538</v>
      </c>
      <c r="C874" s="195" t="s">
        <v>1585</v>
      </c>
      <c r="D874" s="196">
        <v>0.9</v>
      </c>
      <c r="E874" s="194" t="str">
        <f t="shared" si="13"/>
        <v>level 0</v>
      </c>
    </row>
    <row r="875" spans="1:5" x14ac:dyDescent="0.15">
      <c r="A875" s="194">
        <v>7381</v>
      </c>
      <c r="B875" s="195" t="s">
        <v>1538</v>
      </c>
      <c r="C875" s="195" t="s">
        <v>1586</v>
      </c>
      <c r="D875" s="196">
        <v>1.05</v>
      </c>
      <c r="E875" s="194" t="str">
        <f t="shared" si="13"/>
        <v>level III</v>
      </c>
    </row>
    <row r="876" spans="1:5" x14ac:dyDescent="0.15">
      <c r="A876" s="194">
        <v>7382</v>
      </c>
      <c r="B876" s="195" t="s">
        <v>1538</v>
      </c>
      <c r="C876" s="195" t="s">
        <v>1587</v>
      </c>
      <c r="D876" s="196">
        <v>1.05</v>
      </c>
      <c r="E876" s="194" t="str">
        <f t="shared" si="13"/>
        <v>level III</v>
      </c>
    </row>
    <row r="877" spans="1:5" x14ac:dyDescent="0.15">
      <c r="A877" s="194">
        <v>7383</v>
      </c>
      <c r="B877" s="195" t="s">
        <v>1538</v>
      </c>
      <c r="C877" s="195" t="s">
        <v>1588</v>
      </c>
      <c r="D877" s="196">
        <v>1.05</v>
      </c>
      <c r="E877" s="194" t="str">
        <f t="shared" si="13"/>
        <v>level III</v>
      </c>
    </row>
    <row r="878" spans="1:5" x14ac:dyDescent="0.15">
      <c r="A878" s="194">
        <v>7384</v>
      </c>
      <c r="B878" s="195" t="s">
        <v>1538</v>
      </c>
      <c r="C878" s="195" t="s">
        <v>1589</v>
      </c>
      <c r="D878" s="196">
        <v>1.05</v>
      </c>
      <c r="E878" s="194" t="str">
        <f t="shared" si="13"/>
        <v>level III</v>
      </c>
    </row>
    <row r="879" spans="1:5" x14ac:dyDescent="0.15">
      <c r="A879" s="194">
        <v>7389</v>
      </c>
      <c r="B879" s="195" t="s">
        <v>1538</v>
      </c>
      <c r="C879" s="195" t="s">
        <v>1590</v>
      </c>
      <c r="D879" s="196">
        <v>1.05</v>
      </c>
      <c r="E879" s="194" t="str">
        <f t="shared" si="13"/>
        <v>level III</v>
      </c>
    </row>
    <row r="880" spans="1:5" x14ac:dyDescent="0.15">
      <c r="A880" s="194">
        <v>7513</v>
      </c>
      <c r="B880" s="195" t="s">
        <v>1538</v>
      </c>
      <c r="C880" s="195" t="s">
        <v>1591</v>
      </c>
      <c r="D880" s="196">
        <v>1.1000000000000001</v>
      </c>
      <c r="E880" s="194" t="str">
        <f t="shared" si="13"/>
        <v>level IV</v>
      </c>
    </row>
    <row r="881" spans="1:5" x14ac:dyDescent="0.15">
      <c r="A881" s="194">
        <v>7514</v>
      </c>
      <c r="B881" s="195" t="s">
        <v>1538</v>
      </c>
      <c r="C881" s="195" t="s">
        <v>1592</v>
      </c>
      <c r="D881" s="196">
        <v>1.1000000000000001</v>
      </c>
      <c r="E881" s="194" t="str">
        <f t="shared" si="13"/>
        <v>level IV</v>
      </c>
    </row>
    <row r="882" spans="1:5" x14ac:dyDescent="0.15">
      <c r="A882" s="194">
        <v>7515</v>
      </c>
      <c r="B882" s="195" t="s">
        <v>1538</v>
      </c>
      <c r="C882" s="195" t="s">
        <v>1593</v>
      </c>
      <c r="D882" s="196">
        <v>1.1000000000000001</v>
      </c>
      <c r="E882" s="194" t="str">
        <f t="shared" si="13"/>
        <v>level IV</v>
      </c>
    </row>
    <row r="883" spans="1:5" x14ac:dyDescent="0.15">
      <c r="A883" s="194">
        <v>7519</v>
      </c>
      <c r="B883" s="195" t="s">
        <v>1538</v>
      </c>
      <c r="C883" s="195" t="s">
        <v>1594</v>
      </c>
      <c r="D883" s="196">
        <v>1.1000000000000001</v>
      </c>
      <c r="E883" s="194" t="str">
        <f t="shared" si="13"/>
        <v>level IV</v>
      </c>
    </row>
    <row r="884" spans="1:5" x14ac:dyDescent="0.15">
      <c r="A884" s="194">
        <v>7521</v>
      </c>
      <c r="B884" s="195" t="s">
        <v>1538</v>
      </c>
      <c r="C884" s="195" t="s">
        <v>1595</v>
      </c>
      <c r="D884" s="196">
        <v>1.1000000000000001</v>
      </c>
      <c r="E884" s="194" t="str">
        <f t="shared" si="13"/>
        <v>level IV</v>
      </c>
    </row>
    <row r="885" spans="1:5" x14ac:dyDescent="0.15">
      <c r="A885" s="194">
        <v>7532</v>
      </c>
      <c r="B885" s="195" t="s">
        <v>1538</v>
      </c>
      <c r="C885" s="195" t="s">
        <v>1596</v>
      </c>
      <c r="D885" s="196">
        <v>1.1000000000000001</v>
      </c>
      <c r="E885" s="194" t="str">
        <f t="shared" si="13"/>
        <v>level IV</v>
      </c>
    </row>
    <row r="886" spans="1:5" x14ac:dyDescent="0.15">
      <c r="A886" s="194">
        <v>7533</v>
      </c>
      <c r="B886" s="195" t="s">
        <v>1538</v>
      </c>
      <c r="C886" s="195" t="s">
        <v>1597</v>
      </c>
      <c r="D886" s="196">
        <v>1.1000000000000001</v>
      </c>
      <c r="E886" s="194" t="str">
        <f t="shared" si="13"/>
        <v>level IV</v>
      </c>
    </row>
    <row r="887" spans="1:5" x14ac:dyDescent="0.15">
      <c r="A887" s="194">
        <v>7534</v>
      </c>
      <c r="B887" s="195" t="s">
        <v>1538</v>
      </c>
      <c r="C887" s="195" t="s">
        <v>1598</v>
      </c>
      <c r="D887" s="196">
        <v>1.1000000000000001</v>
      </c>
      <c r="E887" s="194" t="str">
        <f t="shared" si="13"/>
        <v>level IV</v>
      </c>
    </row>
    <row r="888" spans="1:5" x14ac:dyDescent="0.15">
      <c r="A888" s="194">
        <v>7536</v>
      </c>
      <c r="B888" s="195" t="s">
        <v>1538</v>
      </c>
      <c r="C888" s="195" t="s">
        <v>1599</v>
      </c>
      <c r="D888" s="196">
        <v>1.1000000000000001</v>
      </c>
      <c r="E888" s="194" t="str">
        <f t="shared" si="13"/>
        <v>level IV</v>
      </c>
    </row>
    <row r="889" spans="1:5" x14ac:dyDescent="0.15">
      <c r="A889" s="194">
        <v>7537</v>
      </c>
      <c r="B889" s="195" t="s">
        <v>1538</v>
      </c>
      <c r="C889" s="195" t="s">
        <v>1600</v>
      </c>
      <c r="D889" s="196">
        <v>1.1000000000000001</v>
      </c>
      <c r="E889" s="194" t="str">
        <f t="shared" si="13"/>
        <v>level IV</v>
      </c>
    </row>
    <row r="890" spans="1:5" x14ac:dyDescent="0.15">
      <c r="A890" s="194">
        <v>7538</v>
      </c>
      <c r="B890" s="195" t="s">
        <v>1538</v>
      </c>
      <c r="C890" s="195" t="s">
        <v>1601</v>
      </c>
      <c r="D890" s="196">
        <v>1.1000000000000001</v>
      </c>
      <c r="E890" s="194" t="str">
        <f t="shared" si="13"/>
        <v>level IV</v>
      </c>
    </row>
    <row r="891" spans="1:5" x14ac:dyDescent="0.15">
      <c r="A891" s="194">
        <v>7539</v>
      </c>
      <c r="B891" s="195" t="s">
        <v>1538</v>
      </c>
      <c r="C891" s="195" t="s">
        <v>1602</v>
      </c>
      <c r="D891" s="196">
        <v>1.1000000000000001</v>
      </c>
      <c r="E891" s="194" t="str">
        <f t="shared" si="13"/>
        <v>level IV</v>
      </c>
    </row>
    <row r="892" spans="1:5" x14ac:dyDescent="0.15">
      <c r="A892" s="194">
        <v>7542</v>
      </c>
      <c r="B892" s="195" t="s">
        <v>1538</v>
      </c>
      <c r="C892" s="195" t="s">
        <v>1603</v>
      </c>
      <c r="D892" s="196">
        <v>1.1000000000000001</v>
      </c>
      <c r="E892" s="194" t="str">
        <f t="shared" si="13"/>
        <v>level IV</v>
      </c>
    </row>
    <row r="893" spans="1:5" x14ac:dyDescent="0.15">
      <c r="A893" s="194">
        <v>7549</v>
      </c>
      <c r="B893" s="195" t="s">
        <v>1538</v>
      </c>
      <c r="C893" s="195" t="s">
        <v>1604</v>
      </c>
      <c r="D893" s="196">
        <v>1.1000000000000001</v>
      </c>
      <c r="E893" s="194" t="str">
        <f t="shared" si="13"/>
        <v>level IV</v>
      </c>
    </row>
    <row r="894" spans="1:5" x14ac:dyDescent="0.15">
      <c r="A894" s="194">
        <v>7622</v>
      </c>
      <c r="B894" s="195" t="s">
        <v>1538</v>
      </c>
      <c r="C894" s="195" t="s">
        <v>1605</v>
      </c>
      <c r="D894" s="196">
        <v>1.05</v>
      </c>
      <c r="E894" s="194" t="str">
        <f t="shared" si="13"/>
        <v>level III</v>
      </c>
    </row>
    <row r="895" spans="1:5" x14ac:dyDescent="0.15">
      <c r="A895" s="194">
        <v>7623</v>
      </c>
      <c r="B895" s="195" t="s">
        <v>1538</v>
      </c>
      <c r="C895" s="195" t="s">
        <v>1606</v>
      </c>
      <c r="D895" s="196">
        <v>1.05</v>
      </c>
      <c r="E895" s="194" t="str">
        <f t="shared" si="13"/>
        <v>level III</v>
      </c>
    </row>
    <row r="896" spans="1:5" x14ac:dyDescent="0.15">
      <c r="A896" s="194">
        <v>7629</v>
      </c>
      <c r="B896" s="195" t="s">
        <v>1538</v>
      </c>
      <c r="C896" s="195" t="s">
        <v>1607</v>
      </c>
      <c r="D896" s="196">
        <v>1.05</v>
      </c>
      <c r="E896" s="194" t="str">
        <f t="shared" si="13"/>
        <v>level III</v>
      </c>
    </row>
    <row r="897" spans="1:5" x14ac:dyDescent="0.15">
      <c r="A897" s="194">
        <v>7631</v>
      </c>
      <c r="B897" s="195" t="s">
        <v>1538</v>
      </c>
      <c r="C897" s="195" t="s">
        <v>1608</v>
      </c>
      <c r="D897" s="196">
        <v>1.05</v>
      </c>
      <c r="E897" s="194" t="str">
        <f t="shared" si="13"/>
        <v>level III</v>
      </c>
    </row>
    <row r="898" spans="1:5" x14ac:dyDescent="0.15">
      <c r="A898" s="194">
        <v>7641</v>
      </c>
      <c r="B898" s="195" t="s">
        <v>1538</v>
      </c>
      <c r="C898" s="195" t="s">
        <v>1609</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1538</v>
      </c>
      <c r="C899" s="195" t="s">
        <v>1610</v>
      </c>
      <c r="D899" s="196">
        <v>1.05</v>
      </c>
      <c r="E899" s="194" t="str">
        <f t="shared" si="14"/>
        <v>level III</v>
      </c>
    </row>
    <row r="900" spans="1:5" x14ac:dyDescent="0.15">
      <c r="A900" s="194">
        <v>7694</v>
      </c>
      <c r="B900" s="195" t="s">
        <v>1538</v>
      </c>
      <c r="C900" s="195" t="s">
        <v>1611</v>
      </c>
      <c r="D900" s="196">
        <v>1.05</v>
      </c>
      <c r="E900" s="194" t="str">
        <f t="shared" si="14"/>
        <v>level III</v>
      </c>
    </row>
    <row r="901" spans="1:5" x14ac:dyDescent="0.15">
      <c r="A901" s="194">
        <v>7699</v>
      </c>
      <c r="B901" s="195" t="s">
        <v>1538</v>
      </c>
      <c r="C901" s="195" t="s">
        <v>1612</v>
      </c>
      <c r="D901" s="196">
        <v>1.05</v>
      </c>
      <c r="E901" s="194" t="str">
        <f t="shared" si="14"/>
        <v>level III</v>
      </c>
    </row>
    <row r="902" spans="1:5" x14ac:dyDescent="0.15">
      <c r="A902" s="194">
        <v>7812</v>
      </c>
      <c r="B902" s="195" t="s">
        <v>1538</v>
      </c>
      <c r="C902" s="195" t="s">
        <v>1613</v>
      </c>
      <c r="D902" s="196">
        <v>1.2</v>
      </c>
      <c r="E902" s="194" t="str">
        <f t="shared" si="14"/>
        <v>level VI</v>
      </c>
    </row>
    <row r="903" spans="1:5" x14ac:dyDescent="0.15">
      <c r="A903" s="194">
        <v>7819</v>
      </c>
      <c r="B903" s="195" t="s">
        <v>1538</v>
      </c>
      <c r="C903" s="195" t="s">
        <v>1614</v>
      </c>
      <c r="D903" s="196">
        <v>1.2</v>
      </c>
      <c r="E903" s="194" t="str">
        <f t="shared" si="14"/>
        <v>level VI</v>
      </c>
    </row>
    <row r="904" spans="1:5" x14ac:dyDescent="0.15">
      <c r="A904" s="194">
        <v>7822</v>
      </c>
      <c r="B904" s="195" t="s">
        <v>1538</v>
      </c>
      <c r="C904" s="195" t="s">
        <v>1615</v>
      </c>
      <c r="D904" s="196">
        <v>1.2</v>
      </c>
      <c r="E904" s="194" t="str">
        <f t="shared" si="14"/>
        <v>level VI</v>
      </c>
    </row>
    <row r="905" spans="1:5" x14ac:dyDescent="0.15">
      <c r="A905" s="194">
        <v>7829</v>
      </c>
      <c r="B905" s="195" t="s">
        <v>1538</v>
      </c>
      <c r="C905" s="195" t="s">
        <v>1616</v>
      </c>
      <c r="D905" s="196">
        <v>1.2</v>
      </c>
      <c r="E905" s="194" t="str">
        <f t="shared" si="14"/>
        <v>level VI</v>
      </c>
    </row>
    <row r="906" spans="1:5" x14ac:dyDescent="0.15">
      <c r="A906" s="194">
        <v>7832</v>
      </c>
      <c r="B906" s="195" t="s">
        <v>1538</v>
      </c>
      <c r="C906" s="195" t="s">
        <v>1617</v>
      </c>
      <c r="D906" s="196">
        <v>1.2</v>
      </c>
      <c r="E906" s="194" t="str">
        <f t="shared" si="14"/>
        <v>level VI</v>
      </c>
    </row>
    <row r="907" spans="1:5" x14ac:dyDescent="0.15">
      <c r="A907" s="194">
        <v>7833</v>
      </c>
      <c r="B907" s="195" t="s">
        <v>1538</v>
      </c>
      <c r="C907" s="195" t="s">
        <v>1618</v>
      </c>
      <c r="D907" s="196">
        <v>1.2</v>
      </c>
      <c r="E907" s="194" t="str">
        <f t="shared" si="14"/>
        <v>level VI</v>
      </c>
    </row>
    <row r="908" spans="1:5" x14ac:dyDescent="0.15">
      <c r="A908" s="194">
        <v>7841</v>
      </c>
      <c r="B908" s="195" t="s">
        <v>1538</v>
      </c>
      <c r="C908" s="195" t="s">
        <v>1619</v>
      </c>
      <c r="D908" s="196">
        <v>1.05</v>
      </c>
      <c r="E908" s="194" t="str">
        <f t="shared" si="14"/>
        <v>level III</v>
      </c>
    </row>
    <row r="909" spans="1:5" x14ac:dyDescent="0.15">
      <c r="A909" s="194">
        <v>7911</v>
      </c>
      <c r="B909" s="195" t="s">
        <v>1538</v>
      </c>
      <c r="C909" s="195" t="s">
        <v>1620</v>
      </c>
      <c r="D909" s="196">
        <v>1.2</v>
      </c>
      <c r="E909" s="194" t="str">
        <f t="shared" si="14"/>
        <v>level VI</v>
      </c>
    </row>
    <row r="910" spans="1:5" x14ac:dyDescent="0.15">
      <c r="A910" s="194">
        <v>7922</v>
      </c>
      <c r="B910" s="195" t="s">
        <v>1538</v>
      </c>
      <c r="C910" s="195" t="s">
        <v>1621</v>
      </c>
      <c r="D910" s="196">
        <v>1.2</v>
      </c>
      <c r="E910" s="194" t="str">
        <f t="shared" si="14"/>
        <v>level VI</v>
      </c>
    </row>
    <row r="911" spans="1:5" x14ac:dyDescent="0.15">
      <c r="A911" s="194">
        <v>7929</v>
      </c>
      <c r="B911" s="195" t="s">
        <v>1538</v>
      </c>
      <c r="C911" s="195" t="s">
        <v>1622</v>
      </c>
      <c r="D911" s="196">
        <v>1.2</v>
      </c>
      <c r="E911" s="194" t="str">
        <f t="shared" si="14"/>
        <v>level VI</v>
      </c>
    </row>
    <row r="912" spans="1:5" x14ac:dyDescent="0.15">
      <c r="A912" s="194">
        <v>7933</v>
      </c>
      <c r="B912" s="195" t="s">
        <v>1538</v>
      </c>
      <c r="C912" s="195" t="s">
        <v>1623</v>
      </c>
      <c r="D912" s="196">
        <v>1.2</v>
      </c>
      <c r="E912" s="194" t="str">
        <f t="shared" si="14"/>
        <v>level VI</v>
      </c>
    </row>
    <row r="913" spans="1:5" x14ac:dyDescent="0.15">
      <c r="A913" s="194">
        <v>7941</v>
      </c>
      <c r="B913" s="195" t="s">
        <v>1538</v>
      </c>
      <c r="C913" s="195" t="s">
        <v>1624</v>
      </c>
      <c r="D913" s="196">
        <v>1.2</v>
      </c>
      <c r="E913" s="194" t="str">
        <f t="shared" si="14"/>
        <v>level VI</v>
      </c>
    </row>
    <row r="914" spans="1:5" x14ac:dyDescent="0.15">
      <c r="A914" s="194">
        <v>7948</v>
      </c>
      <c r="B914" s="195" t="s">
        <v>1538</v>
      </c>
      <c r="C914" s="195" t="s">
        <v>1625</v>
      </c>
      <c r="D914" s="196">
        <v>1.2</v>
      </c>
      <c r="E914" s="194" t="str">
        <f t="shared" si="14"/>
        <v>level VI</v>
      </c>
    </row>
    <row r="915" spans="1:5" x14ac:dyDescent="0.15">
      <c r="A915" s="194">
        <v>7991</v>
      </c>
      <c r="B915" s="195" t="s">
        <v>1538</v>
      </c>
      <c r="C915" s="195" t="s">
        <v>1626</v>
      </c>
      <c r="D915" s="196">
        <v>1</v>
      </c>
      <c r="E915" s="194" t="str">
        <f t="shared" si="14"/>
        <v>level II</v>
      </c>
    </row>
    <row r="916" spans="1:5" x14ac:dyDescent="0.15">
      <c r="A916" s="194">
        <v>7992</v>
      </c>
      <c r="B916" s="195" t="s">
        <v>1538</v>
      </c>
      <c r="C916" s="195" t="s">
        <v>1627</v>
      </c>
      <c r="D916" s="196">
        <v>1.2</v>
      </c>
      <c r="E916" s="194" t="str">
        <f t="shared" si="14"/>
        <v>level VI</v>
      </c>
    </row>
    <row r="917" spans="1:5" x14ac:dyDescent="0.15">
      <c r="A917" s="194">
        <v>7993</v>
      </c>
      <c r="B917" s="195" t="s">
        <v>1538</v>
      </c>
      <c r="C917" s="195" t="s">
        <v>1628</v>
      </c>
      <c r="D917" s="196">
        <v>1.2</v>
      </c>
      <c r="E917" s="194" t="str">
        <f t="shared" si="14"/>
        <v>level VI</v>
      </c>
    </row>
    <row r="918" spans="1:5" x14ac:dyDescent="0.15">
      <c r="A918" s="194">
        <v>7996</v>
      </c>
      <c r="B918" s="195" t="s">
        <v>1538</v>
      </c>
      <c r="C918" s="195" t="s">
        <v>1629</v>
      </c>
      <c r="D918" s="196">
        <v>1.2</v>
      </c>
      <c r="E918" s="194" t="str">
        <f t="shared" si="14"/>
        <v>level VI</v>
      </c>
    </row>
    <row r="919" spans="1:5" x14ac:dyDescent="0.15">
      <c r="A919" s="194">
        <v>7997</v>
      </c>
      <c r="B919" s="195" t="s">
        <v>1538</v>
      </c>
      <c r="C919" s="195" t="s">
        <v>1630</v>
      </c>
      <c r="D919" s="196">
        <v>1.2</v>
      </c>
      <c r="E919" s="194" t="str">
        <f t="shared" si="14"/>
        <v>level VI</v>
      </c>
    </row>
    <row r="920" spans="1:5" x14ac:dyDescent="0.15">
      <c r="A920" s="194">
        <v>7999</v>
      </c>
      <c r="B920" s="195" t="s">
        <v>1538</v>
      </c>
      <c r="C920" s="195" t="s">
        <v>1631</v>
      </c>
      <c r="D920" s="196">
        <v>1.2</v>
      </c>
      <c r="E920" s="194" t="str">
        <f t="shared" si="14"/>
        <v>level VI</v>
      </c>
    </row>
    <row r="921" spans="1:5" x14ac:dyDescent="0.15">
      <c r="A921" s="194">
        <v>8011</v>
      </c>
      <c r="B921" s="195" t="s">
        <v>1538</v>
      </c>
      <c r="C921" s="195" t="s">
        <v>1632</v>
      </c>
      <c r="D921" s="196">
        <v>1.2</v>
      </c>
      <c r="E921" s="194" t="str">
        <f t="shared" si="14"/>
        <v>level VI</v>
      </c>
    </row>
    <row r="922" spans="1:5" x14ac:dyDescent="0.15">
      <c r="A922" s="194">
        <v>8021</v>
      </c>
      <c r="B922" s="195" t="s">
        <v>1538</v>
      </c>
      <c r="C922" s="195" t="s">
        <v>1633</v>
      </c>
      <c r="D922" s="196">
        <v>1.2</v>
      </c>
      <c r="E922" s="194" t="str">
        <f t="shared" si="14"/>
        <v>level VI</v>
      </c>
    </row>
    <row r="923" spans="1:5" x14ac:dyDescent="0.15">
      <c r="A923" s="194">
        <v>8031</v>
      </c>
      <c r="B923" s="195" t="s">
        <v>1538</v>
      </c>
      <c r="C923" s="195" t="s">
        <v>1634</v>
      </c>
      <c r="D923" s="196">
        <v>1.2</v>
      </c>
      <c r="E923" s="194" t="str">
        <f t="shared" si="14"/>
        <v>level VI</v>
      </c>
    </row>
    <row r="924" spans="1:5" x14ac:dyDescent="0.15">
      <c r="A924" s="194">
        <v>8041</v>
      </c>
      <c r="B924" s="195" t="s">
        <v>1538</v>
      </c>
      <c r="C924" s="195" t="s">
        <v>1635</v>
      </c>
      <c r="D924" s="196">
        <v>1.2</v>
      </c>
      <c r="E924" s="194" t="str">
        <f t="shared" si="14"/>
        <v>level VI</v>
      </c>
    </row>
    <row r="925" spans="1:5" x14ac:dyDescent="0.15">
      <c r="A925" s="194">
        <v>8042</v>
      </c>
      <c r="B925" s="195" t="s">
        <v>1538</v>
      </c>
      <c r="C925" s="195" t="s">
        <v>1636</v>
      </c>
      <c r="D925" s="196">
        <v>1.2</v>
      </c>
      <c r="E925" s="194" t="str">
        <f t="shared" si="14"/>
        <v>level VI</v>
      </c>
    </row>
    <row r="926" spans="1:5" x14ac:dyDescent="0.15">
      <c r="A926" s="194">
        <v>8043</v>
      </c>
      <c r="B926" s="195" t="s">
        <v>1538</v>
      </c>
      <c r="C926" s="195" t="s">
        <v>1637</v>
      </c>
      <c r="D926" s="196">
        <v>1.2</v>
      </c>
      <c r="E926" s="194" t="str">
        <f t="shared" si="14"/>
        <v>level VI</v>
      </c>
    </row>
    <row r="927" spans="1:5" x14ac:dyDescent="0.15">
      <c r="A927" s="194">
        <v>8049</v>
      </c>
      <c r="B927" s="195" t="s">
        <v>1538</v>
      </c>
      <c r="C927" s="195" t="s">
        <v>1638</v>
      </c>
      <c r="D927" s="196">
        <v>1.2</v>
      </c>
      <c r="E927" s="194" t="str">
        <f t="shared" si="14"/>
        <v>level VI</v>
      </c>
    </row>
    <row r="928" spans="1:5" x14ac:dyDescent="0.15">
      <c r="A928" s="194">
        <v>8051</v>
      </c>
      <c r="B928" s="195" t="s">
        <v>1538</v>
      </c>
      <c r="C928" s="195" t="s">
        <v>1639</v>
      </c>
      <c r="D928" s="196">
        <v>1.2</v>
      </c>
      <c r="E928" s="194" t="str">
        <f t="shared" si="14"/>
        <v>level VI</v>
      </c>
    </row>
    <row r="929" spans="1:5" x14ac:dyDescent="0.15">
      <c r="A929" s="194">
        <v>8052</v>
      </c>
      <c r="B929" s="195" t="s">
        <v>1538</v>
      </c>
      <c r="C929" s="195" t="s">
        <v>1640</v>
      </c>
      <c r="D929" s="196">
        <v>1.2</v>
      </c>
      <c r="E929" s="194" t="str">
        <f t="shared" si="14"/>
        <v>level VI</v>
      </c>
    </row>
    <row r="930" spans="1:5" x14ac:dyDescent="0.15">
      <c r="A930" s="194">
        <v>8059</v>
      </c>
      <c r="B930" s="195" t="s">
        <v>1538</v>
      </c>
      <c r="C930" s="195" t="s">
        <v>1641</v>
      </c>
      <c r="D930" s="196">
        <v>1.2</v>
      </c>
      <c r="E930" s="194" t="str">
        <f t="shared" si="14"/>
        <v>level VI</v>
      </c>
    </row>
    <row r="931" spans="1:5" x14ac:dyDescent="0.15">
      <c r="A931" s="194">
        <v>8062</v>
      </c>
      <c r="B931" s="195" t="s">
        <v>1538</v>
      </c>
      <c r="C931" s="195" t="s">
        <v>1642</v>
      </c>
      <c r="D931" s="196">
        <v>1.2</v>
      </c>
      <c r="E931" s="194" t="str">
        <f t="shared" si="14"/>
        <v>level VI</v>
      </c>
    </row>
    <row r="932" spans="1:5" x14ac:dyDescent="0.15">
      <c r="A932" s="194">
        <v>8063</v>
      </c>
      <c r="B932" s="195" t="s">
        <v>1538</v>
      </c>
      <c r="C932" s="195" t="s">
        <v>1643</v>
      </c>
      <c r="D932" s="196">
        <v>1.2</v>
      </c>
      <c r="E932" s="194" t="str">
        <f t="shared" si="14"/>
        <v>level VI</v>
      </c>
    </row>
    <row r="933" spans="1:5" x14ac:dyDescent="0.15">
      <c r="A933" s="194">
        <v>8069</v>
      </c>
      <c r="B933" s="195" t="s">
        <v>1538</v>
      </c>
      <c r="C933" s="195" t="s">
        <v>1644</v>
      </c>
      <c r="D933" s="196">
        <v>1.2</v>
      </c>
      <c r="E933" s="194" t="str">
        <f t="shared" si="14"/>
        <v>level VI</v>
      </c>
    </row>
    <row r="934" spans="1:5" x14ac:dyDescent="0.15">
      <c r="A934" s="194">
        <v>8071</v>
      </c>
      <c r="B934" s="195" t="s">
        <v>1538</v>
      </c>
      <c r="C934" s="195" t="s">
        <v>1645</v>
      </c>
      <c r="D934" s="196">
        <v>1.2</v>
      </c>
      <c r="E934" s="194" t="str">
        <f t="shared" si="14"/>
        <v>level VI</v>
      </c>
    </row>
    <row r="935" spans="1:5" x14ac:dyDescent="0.15">
      <c r="A935" s="194">
        <v>8072</v>
      </c>
      <c r="B935" s="195" t="s">
        <v>1538</v>
      </c>
      <c r="C935" s="195" t="s">
        <v>1646</v>
      </c>
      <c r="D935" s="196">
        <v>1.2</v>
      </c>
      <c r="E935" s="194" t="str">
        <f t="shared" si="14"/>
        <v>level VI</v>
      </c>
    </row>
    <row r="936" spans="1:5" x14ac:dyDescent="0.15">
      <c r="A936" s="194">
        <v>8082</v>
      </c>
      <c r="B936" s="195" t="s">
        <v>1538</v>
      </c>
      <c r="C936" s="195" t="s">
        <v>1647</v>
      </c>
      <c r="D936" s="196">
        <v>1.2</v>
      </c>
      <c r="E936" s="194" t="str">
        <f t="shared" si="14"/>
        <v>level VI</v>
      </c>
    </row>
    <row r="937" spans="1:5" x14ac:dyDescent="0.15">
      <c r="A937" s="194">
        <v>8092</v>
      </c>
      <c r="B937" s="195" t="s">
        <v>1538</v>
      </c>
      <c r="C937" s="195" t="s">
        <v>1648</v>
      </c>
      <c r="D937" s="196">
        <v>1.2</v>
      </c>
      <c r="E937" s="194" t="str">
        <f t="shared" si="14"/>
        <v>level VI</v>
      </c>
    </row>
    <row r="938" spans="1:5" x14ac:dyDescent="0.15">
      <c r="A938" s="194">
        <v>8093</v>
      </c>
      <c r="B938" s="195" t="s">
        <v>1538</v>
      </c>
      <c r="C938" s="195" t="s">
        <v>1649</v>
      </c>
      <c r="D938" s="196">
        <v>1.2</v>
      </c>
      <c r="E938" s="194" t="str">
        <f t="shared" si="14"/>
        <v>level VI</v>
      </c>
    </row>
    <row r="939" spans="1:5" x14ac:dyDescent="0.15">
      <c r="A939" s="194">
        <v>8099</v>
      </c>
      <c r="B939" s="195" t="s">
        <v>1538</v>
      </c>
      <c r="C939" s="195" t="s">
        <v>1650</v>
      </c>
      <c r="D939" s="196">
        <v>1.2</v>
      </c>
      <c r="E939" s="194" t="str">
        <f t="shared" si="14"/>
        <v>level VI</v>
      </c>
    </row>
    <row r="940" spans="1:5" x14ac:dyDescent="0.15">
      <c r="A940" s="194">
        <v>8111</v>
      </c>
      <c r="B940" s="195" t="s">
        <v>1538</v>
      </c>
      <c r="C940" s="195" t="s">
        <v>1651</v>
      </c>
      <c r="D940" s="196">
        <v>1.2</v>
      </c>
      <c r="E940" s="194" t="str">
        <f t="shared" si="14"/>
        <v>level VI</v>
      </c>
    </row>
    <row r="941" spans="1:5" x14ac:dyDescent="0.15">
      <c r="A941" s="194">
        <v>8211</v>
      </c>
      <c r="B941" s="195" t="s">
        <v>1652</v>
      </c>
      <c r="C941" s="195" t="s">
        <v>1653</v>
      </c>
      <c r="D941" s="196">
        <v>1</v>
      </c>
      <c r="E941" s="194" t="str">
        <f t="shared" si="14"/>
        <v>level II</v>
      </c>
    </row>
    <row r="942" spans="1:5" x14ac:dyDescent="0.15">
      <c r="A942" s="194">
        <v>8221</v>
      </c>
      <c r="B942" s="195" t="s">
        <v>1652</v>
      </c>
      <c r="C942" s="195" t="s">
        <v>1654</v>
      </c>
      <c r="D942" s="196">
        <v>1</v>
      </c>
      <c r="E942" s="194" t="str">
        <f t="shared" si="14"/>
        <v>level II</v>
      </c>
    </row>
    <row r="943" spans="1:5" x14ac:dyDescent="0.15">
      <c r="A943" s="194">
        <v>8222</v>
      </c>
      <c r="B943" s="195" t="s">
        <v>1652</v>
      </c>
      <c r="C943" s="195" t="s">
        <v>1655</v>
      </c>
      <c r="D943" s="196">
        <v>1</v>
      </c>
      <c r="E943" s="194" t="str">
        <f t="shared" si="14"/>
        <v>level II</v>
      </c>
    </row>
    <row r="944" spans="1:5" x14ac:dyDescent="0.15">
      <c r="A944" s="194">
        <v>8231</v>
      </c>
      <c r="B944" s="195" t="s">
        <v>1652</v>
      </c>
      <c r="C944" s="195" t="s">
        <v>1656</v>
      </c>
      <c r="D944" s="196">
        <v>1</v>
      </c>
      <c r="E944" s="194" t="str">
        <f t="shared" si="14"/>
        <v>level II</v>
      </c>
    </row>
    <row r="945" spans="1:5" x14ac:dyDescent="0.15">
      <c r="A945" s="194">
        <v>8243</v>
      </c>
      <c r="B945" s="195" t="s">
        <v>1652</v>
      </c>
      <c r="C945" s="195" t="s">
        <v>1657</v>
      </c>
      <c r="D945" s="196">
        <v>1</v>
      </c>
      <c r="E945" s="194" t="str">
        <f t="shared" si="14"/>
        <v>level II</v>
      </c>
    </row>
    <row r="946" spans="1:5" x14ac:dyDescent="0.15">
      <c r="A946" s="194">
        <v>8244</v>
      </c>
      <c r="B946" s="195" t="s">
        <v>1652</v>
      </c>
      <c r="C946" s="195" t="s">
        <v>1658</v>
      </c>
      <c r="D946" s="196">
        <v>1</v>
      </c>
      <c r="E946" s="194" t="str">
        <f t="shared" si="14"/>
        <v>level II</v>
      </c>
    </row>
    <row r="947" spans="1:5" x14ac:dyDescent="0.15">
      <c r="A947" s="194">
        <v>8249</v>
      </c>
      <c r="B947" s="195" t="s">
        <v>1652</v>
      </c>
      <c r="C947" s="195" t="s">
        <v>1659</v>
      </c>
      <c r="D947" s="196">
        <v>1</v>
      </c>
      <c r="E947" s="194" t="str">
        <f t="shared" si="14"/>
        <v>level II</v>
      </c>
    </row>
    <row r="948" spans="1:5" x14ac:dyDescent="0.15">
      <c r="A948" s="194">
        <v>8299</v>
      </c>
      <c r="B948" s="195" t="s">
        <v>1652</v>
      </c>
      <c r="C948" s="195" t="s">
        <v>1660</v>
      </c>
      <c r="D948" s="196">
        <v>1</v>
      </c>
      <c r="E948" s="194" t="str">
        <f t="shared" si="14"/>
        <v>level II</v>
      </c>
    </row>
    <row r="949" spans="1:5" x14ac:dyDescent="0.15">
      <c r="A949" s="194">
        <v>8322</v>
      </c>
      <c r="B949" s="195" t="s">
        <v>1538</v>
      </c>
      <c r="C949" s="195" t="s">
        <v>1661</v>
      </c>
      <c r="D949" s="196">
        <v>1.2</v>
      </c>
      <c r="E949" s="194" t="str">
        <f t="shared" si="14"/>
        <v>level VI</v>
      </c>
    </row>
    <row r="950" spans="1:5" x14ac:dyDescent="0.15">
      <c r="A950" s="194">
        <v>8331</v>
      </c>
      <c r="B950" s="195" t="s">
        <v>1538</v>
      </c>
      <c r="C950" s="195" t="s">
        <v>1662</v>
      </c>
      <c r="D950" s="196">
        <v>1.2</v>
      </c>
      <c r="E950" s="194" t="str">
        <f t="shared" si="14"/>
        <v>level VI</v>
      </c>
    </row>
    <row r="951" spans="1:5" x14ac:dyDescent="0.15">
      <c r="A951" s="194">
        <v>8351</v>
      </c>
      <c r="B951" s="195" t="s">
        <v>1538</v>
      </c>
      <c r="C951" s="195" t="s">
        <v>1663</v>
      </c>
      <c r="D951" s="196">
        <v>1.2</v>
      </c>
      <c r="E951" s="194" t="str">
        <f t="shared" si="14"/>
        <v>level VI</v>
      </c>
    </row>
    <row r="952" spans="1:5" x14ac:dyDescent="0.15">
      <c r="A952" s="194">
        <v>8361</v>
      </c>
      <c r="B952" s="195" t="s">
        <v>1538</v>
      </c>
      <c r="C952" s="195" t="s">
        <v>1664</v>
      </c>
      <c r="D952" s="196">
        <v>1.2</v>
      </c>
      <c r="E952" s="194" t="str">
        <f t="shared" si="14"/>
        <v>level VI</v>
      </c>
    </row>
    <row r="953" spans="1:5" x14ac:dyDescent="0.15">
      <c r="A953" s="194">
        <v>8399</v>
      </c>
      <c r="B953" s="195" t="s">
        <v>1538</v>
      </c>
      <c r="C953" s="195" t="s">
        <v>1665</v>
      </c>
      <c r="D953" s="196">
        <v>1.2</v>
      </c>
      <c r="E953" s="194" t="str">
        <f t="shared" si="14"/>
        <v>level VI</v>
      </c>
    </row>
    <row r="954" spans="1:5" x14ac:dyDescent="0.15">
      <c r="A954" s="194">
        <v>8412</v>
      </c>
      <c r="B954" s="195" t="s">
        <v>1538</v>
      </c>
      <c r="C954" s="195" t="s">
        <v>1666</v>
      </c>
      <c r="D954" s="196">
        <v>1.2</v>
      </c>
      <c r="E954" s="194" t="str">
        <f t="shared" si="14"/>
        <v>level VI</v>
      </c>
    </row>
    <row r="955" spans="1:5" x14ac:dyDescent="0.15">
      <c r="A955" s="194">
        <v>8422</v>
      </c>
      <c r="B955" s="195" t="s">
        <v>1538</v>
      </c>
      <c r="C955" s="195" t="s">
        <v>1667</v>
      </c>
      <c r="D955" s="196">
        <v>1.2</v>
      </c>
      <c r="E955" s="194" t="str">
        <f t="shared" si="14"/>
        <v>level VI</v>
      </c>
    </row>
    <row r="956" spans="1:5" x14ac:dyDescent="0.15">
      <c r="A956" s="194">
        <v>8611</v>
      </c>
      <c r="B956" s="195" t="s">
        <v>1538</v>
      </c>
      <c r="C956" s="195" t="s">
        <v>1668</v>
      </c>
      <c r="D956" s="196">
        <v>1.1000000000000001</v>
      </c>
      <c r="E956" s="194" t="str">
        <f t="shared" si="14"/>
        <v>level IV</v>
      </c>
    </row>
    <row r="957" spans="1:5" x14ac:dyDescent="0.15">
      <c r="A957" s="194">
        <v>8621</v>
      </c>
      <c r="B957" s="195" t="s">
        <v>1538</v>
      </c>
      <c r="C957" s="195" t="s">
        <v>1669</v>
      </c>
      <c r="D957" s="196">
        <v>1.1000000000000001</v>
      </c>
      <c r="E957" s="194" t="str">
        <f t="shared" si="14"/>
        <v>level IV</v>
      </c>
    </row>
    <row r="958" spans="1:5" x14ac:dyDescent="0.15">
      <c r="A958" s="194">
        <v>8631</v>
      </c>
      <c r="B958" s="195" t="s">
        <v>1538</v>
      </c>
      <c r="C958" s="195" t="s">
        <v>1670</v>
      </c>
      <c r="D958" s="196">
        <v>1.1000000000000001</v>
      </c>
      <c r="E958" s="194" t="str">
        <f t="shared" si="14"/>
        <v>level IV</v>
      </c>
    </row>
    <row r="959" spans="1:5" x14ac:dyDescent="0.15">
      <c r="A959" s="194">
        <v>8641</v>
      </c>
      <c r="B959" s="195" t="s">
        <v>1538</v>
      </c>
      <c r="C959" s="195" t="s">
        <v>1671</v>
      </c>
      <c r="D959" s="196">
        <v>1.1000000000000001</v>
      </c>
      <c r="E959" s="194" t="str">
        <f t="shared" si="14"/>
        <v>level IV</v>
      </c>
    </row>
    <row r="960" spans="1:5" x14ac:dyDescent="0.15">
      <c r="A960" s="194">
        <v>8651</v>
      </c>
      <c r="B960" s="195" t="s">
        <v>1538</v>
      </c>
      <c r="C960" s="195" t="s">
        <v>1672</v>
      </c>
      <c r="D960" s="196">
        <v>1.1000000000000001</v>
      </c>
      <c r="E960" s="194" t="str">
        <f t="shared" si="14"/>
        <v>level IV</v>
      </c>
    </row>
    <row r="961" spans="1:5" x14ac:dyDescent="0.15">
      <c r="A961" s="194">
        <v>8661</v>
      </c>
      <c r="B961" s="195" t="s">
        <v>1538</v>
      </c>
      <c r="C961" s="195" t="s">
        <v>1673</v>
      </c>
      <c r="D961" s="196">
        <v>1.1000000000000001</v>
      </c>
      <c r="E961" s="194" t="str">
        <f t="shared" si="14"/>
        <v>level IV</v>
      </c>
    </row>
    <row r="962" spans="1:5" x14ac:dyDescent="0.15">
      <c r="A962" s="194">
        <v>8699</v>
      </c>
      <c r="B962" s="195" t="s">
        <v>1538</v>
      </c>
      <c r="C962" s="195" t="s">
        <v>1674</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1538</v>
      </c>
      <c r="C963" s="195" t="s">
        <v>1675</v>
      </c>
      <c r="D963" s="196">
        <v>1.05</v>
      </c>
      <c r="E963" s="194" t="str">
        <f t="shared" si="15"/>
        <v>level III</v>
      </c>
    </row>
    <row r="964" spans="1:5" x14ac:dyDescent="0.15">
      <c r="A964" s="194">
        <v>8712</v>
      </c>
      <c r="B964" s="195" t="s">
        <v>1538</v>
      </c>
      <c r="C964" s="195" t="s">
        <v>1676</v>
      </c>
      <c r="D964" s="196">
        <v>1.05</v>
      </c>
      <c r="E964" s="194" t="str">
        <f t="shared" si="15"/>
        <v>level III</v>
      </c>
    </row>
    <row r="965" spans="1:5" x14ac:dyDescent="0.15">
      <c r="A965" s="194">
        <v>8713</v>
      </c>
      <c r="B965" s="195" t="s">
        <v>1538</v>
      </c>
      <c r="C965" s="195" t="s">
        <v>1677</v>
      </c>
      <c r="D965" s="196">
        <v>1.05</v>
      </c>
      <c r="E965" s="194" t="str">
        <f t="shared" si="15"/>
        <v>level III</v>
      </c>
    </row>
    <row r="966" spans="1:5" x14ac:dyDescent="0.15">
      <c r="A966" s="194">
        <v>8721</v>
      </c>
      <c r="B966" s="195" t="s">
        <v>1538</v>
      </c>
      <c r="C966" s="195" t="s">
        <v>1678</v>
      </c>
      <c r="D966" s="196">
        <v>1.05</v>
      </c>
      <c r="E966" s="194" t="str">
        <f t="shared" si="15"/>
        <v>level III</v>
      </c>
    </row>
    <row r="967" spans="1:5" x14ac:dyDescent="0.15">
      <c r="A967" s="194">
        <v>8731</v>
      </c>
      <c r="B967" s="195" t="s">
        <v>1538</v>
      </c>
      <c r="C967" s="195" t="s">
        <v>1679</v>
      </c>
      <c r="D967" s="196">
        <v>1</v>
      </c>
      <c r="E967" s="194" t="str">
        <f t="shared" si="15"/>
        <v>level II</v>
      </c>
    </row>
    <row r="968" spans="1:5" x14ac:dyDescent="0.15">
      <c r="A968" s="194">
        <v>8732</v>
      </c>
      <c r="B968" s="195" t="s">
        <v>1538</v>
      </c>
      <c r="C968" s="195" t="s">
        <v>1680</v>
      </c>
      <c r="D968" s="196">
        <v>1.05</v>
      </c>
      <c r="E968" s="194" t="str">
        <f t="shared" si="15"/>
        <v>level III</v>
      </c>
    </row>
    <row r="969" spans="1:5" x14ac:dyDescent="0.15">
      <c r="A969" s="194">
        <v>8733</v>
      </c>
      <c r="B969" s="195" t="s">
        <v>1538</v>
      </c>
      <c r="C969" s="195" t="s">
        <v>1681</v>
      </c>
      <c r="D969" s="196">
        <v>1.05</v>
      </c>
      <c r="E969" s="194" t="str">
        <f t="shared" si="15"/>
        <v>level III</v>
      </c>
    </row>
    <row r="970" spans="1:5" x14ac:dyDescent="0.15">
      <c r="A970" s="194">
        <v>8734</v>
      </c>
      <c r="B970" s="195" t="s">
        <v>1538</v>
      </c>
      <c r="C970" s="195" t="s">
        <v>1682</v>
      </c>
      <c r="D970" s="196">
        <v>1.05</v>
      </c>
      <c r="E970" s="194" t="str">
        <f t="shared" si="15"/>
        <v>level III</v>
      </c>
    </row>
    <row r="971" spans="1:5" x14ac:dyDescent="0.15">
      <c r="A971" s="194">
        <v>8741</v>
      </c>
      <c r="B971" s="195" t="s">
        <v>1538</v>
      </c>
      <c r="C971" s="195" t="s">
        <v>1683</v>
      </c>
      <c r="D971" s="196">
        <v>1.05</v>
      </c>
      <c r="E971" s="194" t="str">
        <f t="shared" si="15"/>
        <v>level III</v>
      </c>
    </row>
    <row r="972" spans="1:5" x14ac:dyDescent="0.15">
      <c r="A972" s="194">
        <v>8742</v>
      </c>
      <c r="B972" s="195" t="s">
        <v>1538</v>
      </c>
      <c r="C972" s="195" t="s">
        <v>1684</v>
      </c>
      <c r="D972" s="196">
        <v>1.05</v>
      </c>
      <c r="E972" s="194" t="str">
        <f t="shared" si="15"/>
        <v>level III</v>
      </c>
    </row>
    <row r="973" spans="1:5" x14ac:dyDescent="0.15">
      <c r="A973" s="194">
        <v>8743</v>
      </c>
      <c r="B973" s="195" t="s">
        <v>1538</v>
      </c>
      <c r="C973" s="195" t="s">
        <v>1685</v>
      </c>
      <c r="D973" s="196">
        <v>1.05</v>
      </c>
      <c r="E973" s="194" t="str">
        <f t="shared" si="15"/>
        <v>level III</v>
      </c>
    </row>
    <row r="974" spans="1:5" x14ac:dyDescent="0.15">
      <c r="A974" s="194">
        <v>8744</v>
      </c>
      <c r="B974" s="195" t="s">
        <v>1538</v>
      </c>
      <c r="C974" s="195" t="s">
        <v>1686</v>
      </c>
      <c r="D974" s="196">
        <v>1.05</v>
      </c>
      <c r="E974" s="194" t="str">
        <f t="shared" si="15"/>
        <v>level III</v>
      </c>
    </row>
    <row r="975" spans="1:5" x14ac:dyDescent="0.15">
      <c r="A975" s="194">
        <v>8748</v>
      </c>
      <c r="B975" s="195" t="s">
        <v>1538</v>
      </c>
      <c r="C975" s="195" t="s">
        <v>1687</v>
      </c>
      <c r="D975" s="196">
        <v>1.05</v>
      </c>
      <c r="E975" s="194" t="str">
        <f t="shared" si="15"/>
        <v>level III</v>
      </c>
    </row>
    <row r="976" spans="1:5" x14ac:dyDescent="0.15">
      <c r="A976" s="194">
        <v>8811</v>
      </c>
      <c r="B976" s="195" t="s">
        <v>1538</v>
      </c>
      <c r="C976" s="195" t="s">
        <v>1688</v>
      </c>
      <c r="D976" s="196">
        <v>1.5</v>
      </c>
      <c r="E976" s="194" t="str">
        <f t="shared" si="15"/>
        <v>level VII</v>
      </c>
    </row>
    <row r="977" spans="1:5" x14ac:dyDescent="0.15">
      <c r="A977" s="194">
        <v>8999</v>
      </c>
      <c r="B977" s="195" t="s">
        <v>1538</v>
      </c>
      <c r="C977" s="195" t="s">
        <v>1689</v>
      </c>
      <c r="D977" s="196">
        <v>1.5</v>
      </c>
      <c r="E977" s="194" t="str">
        <f t="shared" si="15"/>
        <v>level VII</v>
      </c>
    </row>
    <row r="978" spans="1:5" x14ac:dyDescent="0.15">
      <c r="A978" s="194">
        <v>9111</v>
      </c>
      <c r="B978" s="195" t="s">
        <v>1690</v>
      </c>
      <c r="C978" s="195" t="s">
        <v>1691</v>
      </c>
      <c r="D978" s="196">
        <v>1.05</v>
      </c>
      <c r="E978" s="194" t="str">
        <f t="shared" si="15"/>
        <v>level III</v>
      </c>
    </row>
    <row r="979" spans="1:5" x14ac:dyDescent="0.15">
      <c r="A979" s="194">
        <v>9121</v>
      </c>
      <c r="B979" s="195" t="s">
        <v>1690</v>
      </c>
      <c r="C979" s="195" t="s">
        <v>1692</v>
      </c>
      <c r="D979" s="196">
        <v>1.05</v>
      </c>
      <c r="E979" s="194" t="str">
        <f t="shared" si="15"/>
        <v>level III</v>
      </c>
    </row>
    <row r="980" spans="1:5" x14ac:dyDescent="0.15">
      <c r="A980" s="194">
        <v>9131</v>
      </c>
      <c r="B980" s="195" t="s">
        <v>1690</v>
      </c>
      <c r="C980" s="195" t="s">
        <v>1693</v>
      </c>
      <c r="D980" s="196">
        <v>1.05</v>
      </c>
      <c r="E980" s="194" t="str">
        <f t="shared" si="15"/>
        <v>level III</v>
      </c>
    </row>
    <row r="981" spans="1:5" x14ac:dyDescent="0.15">
      <c r="A981" s="194">
        <v>9199</v>
      </c>
      <c r="B981" s="195" t="s">
        <v>1690</v>
      </c>
      <c r="C981" s="195" t="s">
        <v>1694</v>
      </c>
      <c r="D981" s="196">
        <v>1.05</v>
      </c>
      <c r="E981" s="194" t="str">
        <f t="shared" si="15"/>
        <v>level III</v>
      </c>
    </row>
    <row r="982" spans="1:5" x14ac:dyDescent="0.15">
      <c r="A982" s="194">
        <v>9211</v>
      </c>
      <c r="B982" s="195" t="s">
        <v>1690</v>
      </c>
      <c r="C982" s="195" t="s">
        <v>1695</v>
      </c>
      <c r="D982" s="196">
        <v>1.05</v>
      </c>
      <c r="E982" s="194" t="str">
        <f t="shared" si="15"/>
        <v>level III</v>
      </c>
    </row>
    <row r="983" spans="1:5" x14ac:dyDescent="0.15">
      <c r="A983" s="194">
        <v>9221</v>
      </c>
      <c r="B983" s="195" t="s">
        <v>1690</v>
      </c>
      <c r="C983" s="195" t="s">
        <v>1696</v>
      </c>
      <c r="D983" s="196">
        <v>1.05</v>
      </c>
      <c r="E983" s="194" t="str">
        <f t="shared" si="15"/>
        <v>level III</v>
      </c>
    </row>
    <row r="984" spans="1:5" x14ac:dyDescent="0.15">
      <c r="A984" s="194">
        <v>9222</v>
      </c>
      <c r="B984" s="195" t="s">
        <v>1690</v>
      </c>
      <c r="C984" s="195" t="s">
        <v>1697</v>
      </c>
      <c r="D984" s="196">
        <v>1.05</v>
      </c>
      <c r="E984" s="194" t="str">
        <f t="shared" si="15"/>
        <v>level III</v>
      </c>
    </row>
    <row r="985" spans="1:5" x14ac:dyDescent="0.15">
      <c r="A985" s="194">
        <v>9223</v>
      </c>
      <c r="B985" s="195" t="s">
        <v>1690</v>
      </c>
      <c r="C985" s="195" t="s">
        <v>1698</v>
      </c>
      <c r="D985" s="196">
        <v>1.05</v>
      </c>
      <c r="E985" s="194" t="str">
        <f t="shared" si="15"/>
        <v>level III</v>
      </c>
    </row>
    <row r="986" spans="1:5" x14ac:dyDescent="0.15">
      <c r="A986" s="194">
        <v>9224</v>
      </c>
      <c r="B986" s="195" t="s">
        <v>1690</v>
      </c>
      <c r="C986" s="195" t="s">
        <v>1699</v>
      </c>
      <c r="D986" s="196">
        <v>1.05</v>
      </c>
      <c r="E986" s="194" t="str">
        <f t="shared" si="15"/>
        <v>level III</v>
      </c>
    </row>
    <row r="987" spans="1:5" x14ac:dyDescent="0.15">
      <c r="A987" s="194">
        <v>9229</v>
      </c>
      <c r="B987" s="195" t="s">
        <v>1690</v>
      </c>
      <c r="C987" s="195" t="s">
        <v>1700</v>
      </c>
      <c r="D987" s="196">
        <v>1.05</v>
      </c>
      <c r="E987" s="194" t="str">
        <f t="shared" si="15"/>
        <v>level III</v>
      </c>
    </row>
    <row r="988" spans="1:5" x14ac:dyDescent="0.15">
      <c r="A988" s="194">
        <v>9311</v>
      </c>
      <c r="B988" s="195" t="s">
        <v>1690</v>
      </c>
      <c r="C988" s="195" t="s">
        <v>1701</v>
      </c>
      <c r="D988" s="196">
        <v>1.05</v>
      </c>
      <c r="E988" s="194" t="str">
        <f t="shared" si="15"/>
        <v>level III</v>
      </c>
    </row>
    <row r="989" spans="1:5" x14ac:dyDescent="0.15">
      <c r="A989" s="194">
        <v>9411</v>
      </c>
      <c r="B989" s="195" t="s">
        <v>1690</v>
      </c>
      <c r="C989" s="195" t="s">
        <v>1702</v>
      </c>
      <c r="D989" s="196">
        <v>1.05</v>
      </c>
      <c r="E989" s="194" t="str">
        <f t="shared" si="15"/>
        <v>level III</v>
      </c>
    </row>
    <row r="990" spans="1:5" x14ac:dyDescent="0.15">
      <c r="A990" s="194">
        <v>9431</v>
      </c>
      <c r="B990" s="195" t="s">
        <v>1690</v>
      </c>
      <c r="C990" s="195" t="s">
        <v>1703</v>
      </c>
      <c r="D990" s="196">
        <v>1.05</v>
      </c>
      <c r="E990" s="194" t="str">
        <f t="shared" si="15"/>
        <v>level III</v>
      </c>
    </row>
    <row r="991" spans="1:5" x14ac:dyDescent="0.15">
      <c r="A991" s="194">
        <v>9441</v>
      </c>
      <c r="B991" s="195" t="s">
        <v>1690</v>
      </c>
      <c r="C991" s="195" t="s">
        <v>1704</v>
      </c>
      <c r="D991" s="196">
        <v>1.05</v>
      </c>
      <c r="E991" s="194" t="str">
        <f t="shared" si="15"/>
        <v>level III</v>
      </c>
    </row>
    <row r="992" spans="1:5" x14ac:dyDescent="0.15">
      <c r="A992" s="194">
        <v>9451</v>
      </c>
      <c r="B992" s="195" t="s">
        <v>1690</v>
      </c>
      <c r="C992" s="195" t="s">
        <v>1705</v>
      </c>
      <c r="D992" s="196">
        <v>1.05</v>
      </c>
      <c r="E992" s="194" t="str">
        <f t="shared" si="15"/>
        <v>level III</v>
      </c>
    </row>
    <row r="993" spans="1:5" x14ac:dyDescent="0.15">
      <c r="A993" s="194">
        <v>9511</v>
      </c>
      <c r="B993" s="195" t="s">
        <v>1690</v>
      </c>
      <c r="C993" s="195" t="s">
        <v>1706</v>
      </c>
      <c r="D993" s="196">
        <v>1.05</v>
      </c>
      <c r="E993" s="194" t="str">
        <f t="shared" si="15"/>
        <v>level III</v>
      </c>
    </row>
    <row r="994" spans="1:5" x14ac:dyDescent="0.15">
      <c r="A994" s="194">
        <v>9512</v>
      </c>
      <c r="B994" s="195" t="s">
        <v>1690</v>
      </c>
      <c r="C994" s="195" t="s">
        <v>1707</v>
      </c>
      <c r="D994" s="196">
        <v>1.05</v>
      </c>
      <c r="E994" s="194" t="str">
        <f t="shared" si="15"/>
        <v>level III</v>
      </c>
    </row>
    <row r="995" spans="1:5" x14ac:dyDescent="0.15">
      <c r="A995" s="194">
        <v>9531</v>
      </c>
      <c r="B995" s="195" t="s">
        <v>1690</v>
      </c>
      <c r="C995" s="195" t="s">
        <v>1708</v>
      </c>
      <c r="D995" s="196">
        <v>1.05</v>
      </c>
      <c r="E995" s="194" t="str">
        <f t="shared" si="15"/>
        <v>level III</v>
      </c>
    </row>
    <row r="996" spans="1:5" x14ac:dyDescent="0.15">
      <c r="A996" s="194">
        <v>9532</v>
      </c>
      <c r="B996" s="195" t="s">
        <v>1690</v>
      </c>
      <c r="C996" s="195" t="s">
        <v>1709</v>
      </c>
      <c r="D996" s="196">
        <v>1.05</v>
      </c>
      <c r="E996" s="194" t="str">
        <f t="shared" si="15"/>
        <v>level III</v>
      </c>
    </row>
    <row r="997" spans="1:5" x14ac:dyDescent="0.15">
      <c r="A997" s="194">
        <v>9611</v>
      </c>
      <c r="B997" s="195" t="s">
        <v>1690</v>
      </c>
      <c r="C997" s="195" t="s">
        <v>1710</v>
      </c>
      <c r="D997" s="196">
        <v>1.05</v>
      </c>
      <c r="E997" s="194" t="str">
        <f t="shared" si="15"/>
        <v>level III</v>
      </c>
    </row>
    <row r="998" spans="1:5" x14ac:dyDescent="0.15">
      <c r="A998" s="194">
        <v>9621</v>
      </c>
      <c r="B998" s="195" t="s">
        <v>1690</v>
      </c>
      <c r="C998" s="195" t="s">
        <v>1711</v>
      </c>
      <c r="D998" s="196">
        <v>1.05</v>
      </c>
      <c r="E998" s="194" t="str">
        <f t="shared" si="15"/>
        <v>level III</v>
      </c>
    </row>
    <row r="999" spans="1:5" x14ac:dyDescent="0.15">
      <c r="A999" s="194">
        <v>9631</v>
      </c>
      <c r="B999" s="195" t="s">
        <v>1690</v>
      </c>
      <c r="C999" s="195" t="s">
        <v>1712</v>
      </c>
      <c r="D999" s="196">
        <v>1.05</v>
      </c>
      <c r="E999" s="194" t="str">
        <f t="shared" si="15"/>
        <v>level III</v>
      </c>
    </row>
    <row r="1000" spans="1:5" x14ac:dyDescent="0.15">
      <c r="A1000" s="194">
        <v>9641</v>
      </c>
      <c r="B1000" s="195" t="s">
        <v>1690</v>
      </c>
      <c r="C1000" s="195" t="s">
        <v>1713</v>
      </c>
      <c r="D1000" s="196">
        <v>1.05</v>
      </c>
      <c r="E1000" s="194" t="str">
        <f t="shared" si="15"/>
        <v>level III</v>
      </c>
    </row>
    <row r="1001" spans="1:5" x14ac:dyDescent="0.15">
      <c r="A1001" s="194">
        <v>9651</v>
      </c>
      <c r="B1001" s="195" t="s">
        <v>1690</v>
      </c>
      <c r="C1001" s="195" t="s">
        <v>1714</v>
      </c>
      <c r="D1001" s="196">
        <v>1.05</v>
      </c>
      <c r="E1001" s="194" t="str">
        <f t="shared" si="15"/>
        <v>level III</v>
      </c>
    </row>
    <row r="1002" spans="1:5" x14ac:dyDescent="0.15">
      <c r="A1002" s="194">
        <v>9661</v>
      </c>
      <c r="B1002" s="195" t="s">
        <v>1690</v>
      </c>
      <c r="C1002" s="195" t="s">
        <v>1715</v>
      </c>
      <c r="D1002" s="196">
        <v>1.05</v>
      </c>
      <c r="E1002" s="194" t="str">
        <f t="shared" si="15"/>
        <v>level III</v>
      </c>
    </row>
    <row r="1003" spans="1:5" x14ac:dyDescent="0.15">
      <c r="A1003" s="194">
        <v>9711</v>
      </c>
      <c r="B1003" s="195" t="s">
        <v>1690</v>
      </c>
      <c r="C1003" s="195" t="s">
        <v>1716</v>
      </c>
      <c r="D1003" s="196">
        <v>1.05</v>
      </c>
      <c r="E1003" s="194" t="str">
        <f t="shared" si="15"/>
        <v>level III</v>
      </c>
    </row>
    <row r="1004" spans="1:5" x14ac:dyDescent="0.15">
      <c r="A1004" s="194">
        <v>9721</v>
      </c>
      <c r="B1004" s="195" t="s">
        <v>1690</v>
      </c>
      <c r="C1004" s="195" t="s">
        <v>1717</v>
      </c>
      <c r="D1004" s="196">
        <v>1.05</v>
      </c>
      <c r="E1004" s="194" t="str">
        <f t="shared" si="15"/>
        <v>level III</v>
      </c>
    </row>
    <row r="1005" spans="1:5" x14ac:dyDescent="0.15">
      <c r="A1005" s="197">
        <v>9990</v>
      </c>
      <c r="B1005" s="198" t="s">
        <v>1718</v>
      </c>
      <c r="C1005" s="198" t="s">
        <v>1718</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AA198"/>
  <sheetViews>
    <sheetView showGridLines="0" zoomScale="55" zoomScaleNormal="55" workbookViewId="0">
      <selection activeCell="U23" sqref="A1:Z23"/>
    </sheetView>
  </sheetViews>
  <sheetFormatPr baseColWidth="10" defaultColWidth="9.1640625" defaultRowHeight="15" x14ac:dyDescent="0.2"/>
  <cols>
    <col min="1" max="1" width="2.5" style="74" customWidth="1"/>
    <col min="2" max="2" width="9.33203125" style="75" customWidth="1"/>
    <col min="3" max="3" width="7.33203125" style="75" customWidth="1"/>
    <col min="4" max="13" width="13.6640625" style="75" customWidth="1"/>
    <col min="14" max="14" width="2.83203125" style="75" customWidth="1"/>
    <col min="15" max="15" width="18.33203125" style="74" bestFit="1" customWidth="1"/>
    <col min="16" max="16" width="14.33203125" style="74" customWidth="1"/>
    <col min="17" max="17" width="21.6640625" style="74" customWidth="1"/>
    <col min="18" max="18" width="16.6640625" style="74" customWidth="1"/>
    <col min="19" max="19" width="15.5" style="74" customWidth="1"/>
    <col min="20" max="20" width="2.6640625" style="74" customWidth="1"/>
    <col min="21" max="21" width="13.5" style="74" bestFit="1" customWidth="1"/>
    <col min="22" max="22" width="21.83203125" style="74" bestFit="1" customWidth="1"/>
    <col min="23" max="23" width="13.83203125" style="74" bestFit="1" customWidth="1"/>
    <col min="24" max="16384" width="9.1640625" style="74"/>
  </cols>
  <sheetData>
    <row r="1" spans="1:27" ht="23" x14ac:dyDescent="0.2">
      <c r="A1" s="286"/>
      <c r="B1" s="317" t="s">
        <v>1764</v>
      </c>
      <c r="C1" s="317"/>
      <c r="D1" s="287"/>
      <c r="E1" s="287"/>
      <c r="F1" s="287"/>
      <c r="G1" s="287"/>
      <c r="H1" s="287"/>
      <c r="I1" s="287"/>
      <c r="J1" s="299"/>
      <c r="K1" s="299"/>
      <c r="L1" s="299"/>
      <c r="M1" s="299"/>
      <c r="N1" s="336"/>
      <c r="O1" s="299"/>
      <c r="P1" s="299"/>
      <c r="Q1" s="299"/>
      <c r="R1" s="299"/>
      <c r="S1" s="299"/>
      <c r="T1" s="299"/>
      <c r="U1" s="299"/>
      <c r="V1" s="299"/>
      <c r="W1" s="299"/>
      <c r="X1" s="299"/>
      <c r="Y1" s="299"/>
      <c r="Z1" s="299"/>
      <c r="AA1" s="299"/>
    </row>
    <row r="2" spans="1:27" ht="24" thickBot="1" x14ac:dyDescent="0.25">
      <c r="A2" s="286"/>
      <c r="B2" s="315" t="s">
        <v>1763</v>
      </c>
      <c r="C2" s="315"/>
      <c r="D2" s="316"/>
      <c r="E2" s="316"/>
      <c r="F2" s="287"/>
      <c r="G2" s="287"/>
      <c r="H2" s="287"/>
      <c r="I2" s="287"/>
      <c r="J2" s="299"/>
      <c r="K2" s="299"/>
      <c r="L2" s="299"/>
      <c r="M2" s="593"/>
      <c r="N2" s="336"/>
      <c r="O2" s="299"/>
      <c r="P2" s="299"/>
      <c r="Q2" s="299"/>
      <c r="R2" s="299"/>
      <c r="S2" s="299"/>
      <c r="T2" s="299"/>
      <c r="U2" s="299"/>
      <c r="V2" s="299"/>
      <c r="W2" s="299"/>
      <c r="X2" s="299"/>
      <c r="Y2" s="299"/>
      <c r="Z2" s="299"/>
      <c r="AA2" s="299"/>
    </row>
    <row r="3" spans="1:27" ht="25" thickTop="1" thickBot="1" x14ac:dyDescent="0.25">
      <c r="A3" s="286"/>
      <c r="B3" s="1024" t="s">
        <v>1912</v>
      </c>
      <c r="C3" s="1025"/>
      <c r="D3" s="1025"/>
      <c r="E3" s="1025"/>
      <c r="F3" s="1025"/>
      <c r="G3" s="1025"/>
      <c r="H3" s="1025"/>
      <c r="I3" s="1025"/>
      <c r="J3" s="1025"/>
      <c r="K3" s="1025"/>
      <c r="L3" s="1025"/>
      <c r="M3" s="1026"/>
      <c r="N3" s="336"/>
      <c r="O3" s="992" t="s">
        <v>66</v>
      </c>
      <c r="P3" s="992"/>
      <c r="Q3" s="992"/>
      <c r="R3" s="992"/>
      <c r="S3" s="993"/>
      <c r="T3" s="299"/>
      <c r="U3" s="992" t="s">
        <v>102</v>
      </c>
      <c r="V3" s="992"/>
      <c r="W3" s="992"/>
      <c r="X3" s="993"/>
      <c r="Y3" s="497"/>
      <c r="Z3" s="336"/>
      <c r="AA3" s="299"/>
    </row>
    <row r="4" spans="1:27" ht="15" customHeight="1" thickTop="1" x14ac:dyDescent="0.2">
      <c r="A4" s="286"/>
      <c r="B4" s="696"/>
      <c r="C4" s="697"/>
      <c r="D4" s="595" t="s">
        <v>1863</v>
      </c>
      <c r="E4" s="1027">
        <v>10</v>
      </c>
      <c r="F4" s="1028"/>
      <c r="G4" s="1029"/>
      <c r="H4" s="697"/>
      <c r="I4" s="697"/>
      <c r="J4" s="697"/>
      <c r="K4" s="697"/>
      <c r="L4" s="697"/>
      <c r="M4" s="698"/>
      <c r="N4" s="336"/>
      <c r="O4" s="332"/>
      <c r="P4" s="333" t="s">
        <v>70</v>
      </c>
      <c r="Q4" s="334" t="s">
        <v>71</v>
      </c>
      <c r="R4" s="334" t="s">
        <v>72</v>
      </c>
      <c r="S4" s="335" t="s">
        <v>73</v>
      </c>
      <c r="T4" s="336"/>
      <c r="U4" s="1030" t="s">
        <v>103</v>
      </c>
      <c r="V4" s="1031"/>
      <c r="W4" s="1032">
        <f>INTAKE!E5</f>
        <v>0</v>
      </c>
      <c r="X4" s="1033"/>
      <c r="Y4" s="497"/>
      <c r="Z4" s="336"/>
      <c r="AA4" s="299"/>
    </row>
    <row r="5" spans="1:27" ht="15" customHeight="1" x14ac:dyDescent="0.2">
      <c r="A5" s="286"/>
      <c r="B5" s="573"/>
      <c r="C5" s="571"/>
      <c r="D5" s="570" t="s">
        <v>1852</v>
      </c>
      <c r="E5" s="569" t="s">
        <v>1853</v>
      </c>
      <c r="F5" s="575"/>
      <c r="G5" s="569" t="s">
        <v>1854</v>
      </c>
      <c r="H5" s="575"/>
      <c r="I5" s="569" t="s">
        <v>1855</v>
      </c>
      <c r="J5" s="601"/>
      <c r="K5" s="566"/>
      <c r="L5" s="566"/>
      <c r="M5" s="572"/>
      <c r="N5" s="336"/>
      <c r="O5" s="328" t="s">
        <v>77</v>
      </c>
      <c r="P5" s="329">
        <f>E24+E43+E62+E81+E100+E119+E138+E157+E176+E195</f>
        <v>95077.270000000019</v>
      </c>
      <c r="Q5" s="329">
        <f>I24+I43+I62+I81+I100+I119+I138+I157+I176+I195</f>
        <v>0</v>
      </c>
      <c r="R5" s="329">
        <f>Q5-P5</f>
        <v>-95077.270000000019</v>
      </c>
      <c r="S5" s="330">
        <f>R5/P5</f>
        <v>-1</v>
      </c>
      <c r="T5" s="336"/>
      <c r="U5" s="995" t="s">
        <v>11</v>
      </c>
      <c r="V5" s="996"/>
      <c r="W5" s="1020">
        <f>INTAKE!E7</f>
        <v>43101</v>
      </c>
      <c r="X5" s="1021"/>
      <c r="Y5" s="497"/>
      <c r="Z5" s="336"/>
      <c r="AA5" s="299"/>
    </row>
    <row r="6" spans="1:27" ht="15" customHeight="1" x14ac:dyDescent="0.2">
      <c r="A6" s="286"/>
      <c r="B6" s="573"/>
      <c r="C6" s="571"/>
      <c r="D6" s="570" t="s">
        <v>1856</v>
      </c>
      <c r="E6" s="574" t="s">
        <v>1853</v>
      </c>
      <c r="F6" s="575">
        <v>0</v>
      </c>
      <c r="G6" s="574" t="s">
        <v>1854</v>
      </c>
      <c r="H6" s="575">
        <v>0</v>
      </c>
      <c r="I6" s="574" t="s">
        <v>1857</v>
      </c>
      <c r="J6" s="575">
        <v>0</v>
      </c>
      <c r="K6" s="574" t="s">
        <v>1855</v>
      </c>
      <c r="L6" s="575">
        <v>0</v>
      </c>
      <c r="M6" s="592"/>
      <c r="N6" s="336"/>
      <c r="O6" s="328" t="s">
        <v>81</v>
      </c>
      <c r="P6" s="329">
        <f>E25+E44+E63+E82+E101+E120+E139+E158+E177+E196</f>
        <v>1140927.24</v>
      </c>
      <c r="Q6" s="329">
        <f>I25+I44+I63+I82+I101+I120+I139+I158+I177+I196</f>
        <v>0</v>
      </c>
      <c r="R6" s="329">
        <f>Q6-P6</f>
        <v>-1140927.24</v>
      </c>
      <c r="S6" s="340">
        <f>R6/P6</f>
        <v>-1</v>
      </c>
      <c r="T6" s="336"/>
      <c r="U6" s="995" t="s">
        <v>104</v>
      </c>
      <c r="V6" s="996"/>
      <c r="W6" s="1022" t="str">
        <f>INTAKE!E11</f>
        <v>Willis Towers</v>
      </c>
      <c r="X6" s="1023"/>
      <c r="Y6" s="497"/>
      <c r="Z6" s="336"/>
      <c r="AA6" s="299"/>
    </row>
    <row r="7" spans="1:27" ht="15" customHeight="1" thickBot="1" x14ac:dyDescent="0.25">
      <c r="A7" s="286"/>
      <c r="B7" s="573"/>
      <c r="C7" s="566"/>
      <c r="D7" s="566"/>
      <c r="E7" s="566"/>
      <c r="F7" s="566"/>
      <c r="G7" s="566"/>
      <c r="H7" s="567"/>
      <c r="I7" s="567"/>
      <c r="J7" s="567"/>
      <c r="K7" s="567"/>
      <c r="L7" s="567"/>
      <c r="M7" s="568"/>
      <c r="N7" s="336"/>
      <c r="O7" s="328" t="s">
        <v>83</v>
      </c>
      <c r="P7" s="331">
        <f>G24+G43+G62+G81+G100+G119+G138+G157+G176+G195</f>
        <v>95077.270000000019</v>
      </c>
      <c r="Q7" s="331">
        <f>Q5</f>
        <v>0</v>
      </c>
      <c r="R7" s="329">
        <f>Q7-P7</f>
        <v>-95077.270000000019</v>
      </c>
      <c r="S7" s="330">
        <f>R7/P7</f>
        <v>-1</v>
      </c>
      <c r="T7" s="336"/>
      <c r="U7" s="995" t="s">
        <v>105</v>
      </c>
      <c r="V7" s="996"/>
      <c r="W7" s="1012">
        <f>INTAKE!N5</f>
        <v>182</v>
      </c>
      <c r="X7" s="1013"/>
      <c r="Y7" s="497"/>
      <c r="Z7" s="336"/>
      <c r="AA7" s="299"/>
    </row>
    <row r="8" spans="1:27" ht="15" customHeight="1" thickTop="1" thickBot="1" x14ac:dyDescent="0.25">
      <c r="A8" s="286"/>
      <c r="B8" s="1007" t="s">
        <v>67</v>
      </c>
      <c r="C8" s="1008"/>
      <c r="D8" s="980" t="s">
        <v>68</v>
      </c>
      <c r="E8" s="981"/>
      <c r="F8" s="981"/>
      <c r="G8" s="982"/>
      <c r="H8" s="1009" t="s">
        <v>69</v>
      </c>
      <c r="I8" s="1010"/>
      <c r="J8" s="1010"/>
      <c r="K8" s="1010"/>
      <c r="L8" s="1010"/>
      <c r="M8" s="1011"/>
      <c r="N8" s="336"/>
      <c r="O8" s="328" t="s">
        <v>84</v>
      </c>
      <c r="P8" s="331">
        <f>G25+G44+G63+G82+G101+G120+G139+G158+G177+G196</f>
        <v>1140927.24</v>
      </c>
      <c r="Q8" s="331">
        <f>Q6</f>
        <v>0</v>
      </c>
      <c r="R8" s="329">
        <f>Q8-P8</f>
        <v>-1140927.24</v>
      </c>
      <c r="S8" s="340">
        <f>R8/P8</f>
        <v>-1</v>
      </c>
      <c r="T8" s="336"/>
      <c r="U8" s="995" t="s">
        <v>106</v>
      </c>
      <c r="V8" s="996"/>
      <c r="W8" s="1012">
        <f>INTAKE!N6</f>
        <v>165</v>
      </c>
      <c r="X8" s="1013"/>
      <c r="Y8" s="497"/>
      <c r="Z8" s="336"/>
      <c r="AA8" s="299"/>
    </row>
    <row r="9" spans="1:27" ht="15" customHeight="1" thickTop="1" thickBot="1" x14ac:dyDescent="0.25">
      <c r="A9" s="286"/>
      <c r="B9" s="976"/>
      <c r="C9" s="977"/>
      <c r="D9" s="962" t="s">
        <v>74</v>
      </c>
      <c r="E9" s="963"/>
      <c r="F9" s="966" t="s">
        <v>75</v>
      </c>
      <c r="G9" s="967"/>
      <c r="H9" s="970" t="s">
        <v>76</v>
      </c>
      <c r="I9" s="971"/>
      <c r="J9" s="972" t="s">
        <v>1735</v>
      </c>
      <c r="K9" s="973"/>
      <c r="L9" s="970" t="s">
        <v>1736</v>
      </c>
      <c r="M9" s="971"/>
      <c r="N9" s="336"/>
      <c r="O9" s="497"/>
      <c r="P9" s="497"/>
      <c r="Q9" s="497"/>
      <c r="R9" s="497"/>
      <c r="S9" s="497"/>
      <c r="T9" s="336"/>
      <c r="U9" s="995" t="s">
        <v>107</v>
      </c>
      <c r="V9" s="996"/>
      <c r="W9" s="1014" t="str">
        <f>INTAKE!E43</f>
        <v>Select One</v>
      </c>
      <c r="X9" s="1015"/>
      <c r="Y9" s="497"/>
      <c r="Z9" s="336"/>
      <c r="AA9" s="299"/>
    </row>
    <row r="10" spans="1:27" ht="15" customHeight="1" thickTop="1" thickBot="1" x14ac:dyDescent="0.25">
      <c r="A10" s="286"/>
      <c r="B10" s="976"/>
      <c r="C10" s="977"/>
      <c r="D10" s="964"/>
      <c r="E10" s="965"/>
      <c r="F10" s="968"/>
      <c r="G10" s="969"/>
      <c r="H10" s="343" t="s">
        <v>1732</v>
      </c>
      <c r="I10" s="341"/>
      <c r="J10" s="345" t="s">
        <v>1733</v>
      </c>
      <c r="K10" s="577">
        <f>IF(E11=0,0,VLOOKUP(E11,RBRATES,2,0))</f>
        <v>0.05</v>
      </c>
      <c r="L10" s="343" t="s">
        <v>80</v>
      </c>
      <c r="M10" s="510">
        <f>$Z$18</f>
        <v>0</v>
      </c>
      <c r="N10" s="336"/>
      <c r="O10" s="992" t="s">
        <v>86</v>
      </c>
      <c r="P10" s="992"/>
      <c r="Q10" s="992"/>
      <c r="R10" s="992"/>
      <c r="S10" s="993"/>
      <c r="T10" s="336"/>
      <c r="U10" s="995" t="s">
        <v>108</v>
      </c>
      <c r="V10" s="996"/>
      <c r="W10" s="1016"/>
      <c r="X10" s="1017"/>
      <c r="Y10" s="497"/>
      <c r="Z10" s="336"/>
      <c r="AA10" s="299"/>
    </row>
    <row r="11" spans="1:27" ht="15" customHeight="1" thickTop="1" thickBot="1" x14ac:dyDescent="0.25">
      <c r="A11" s="286"/>
      <c r="B11" s="978"/>
      <c r="C11" s="979"/>
      <c r="D11" s="565" t="s">
        <v>1850</v>
      </c>
      <c r="E11" s="562" t="str">
        <f>INTAKE!C17</f>
        <v>HMO</v>
      </c>
      <c r="F11" s="342" t="s">
        <v>78</v>
      </c>
      <c r="G11" s="564">
        <f>IF(E11="HMO",$F$5,IF(E11="PPO",$H$5,IF(E11="CDHP",$J$5)))</f>
        <v>0</v>
      </c>
      <c r="H11" s="344" t="s">
        <v>82</v>
      </c>
      <c r="I11" s="341"/>
      <c r="J11" s="947"/>
      <c r="K11" s="948"/>
      <c r="L11" s="949"/>
      <c r="M11" s="950"/>
      <c r="N11" s="336"/>
      <c r="O11" s="332"/>
      <c r="P11" s="333" t="s">
        <v>70</v>
      </c>
      <c r="Q11" s="334" t="s">
        <v>88</v>
      </c>
      <c r="R11" s="334" t="s">
        <v>72</v>
      </c>
      <c r="S11" s="335" t="s">
        <v>73</v>
      </c>
      <c r="T11" s="336"/>
      <c r="U11" s="995" t="s">
        <v>109</v>
      </c>
      <c r="V11" s="996"/>
      <c r="W11" s="1018">
        <f>G11</f>
        <v>0</v>
      </c>
      <c r="X11" s="1019"/>
      <c r="Y11" s="497"/>
      <c r="Z11" s="336"/>
      <c r="AA11" s="299"/>
    </row>
    <row r="12" spans="1:27" ht="15" customHeight="1" thickTop="1" x14ac:dyDescent="0.2">
      <c r="A12" s="286"/>
      <c r="B12" s="951" t="s">
        <v>32</v>
      </c>
      <c r="C12" s="952"/>
      <c r="D12" s="999" t="str">
        <f>INTAKE!D17</f>
        <v>HIGH HMO</v>
      </c>
      <c r="E12" s="1000"/>
      <c r="F12" s="1001"/>
      <c r="G12" s="1002"/>
      <c r="H12" s="917" t="e">
        <f>VLOOKUP(I10,[3]PLANS!$A$1:$H$107,2,FALSE)</f>
        <v>#N/A</v>
      </c>
      <c r="I12" s="958"/>
      <c r="J12" s="919" t="e">
        <f t="shared" ref="J12:J18" si="0">H12</f>
        <v>#N/A</v>
      </c>
      <c r="K12" s="991"/>
      <c r="L12" s="921" t="e">
        <f t="shared" ref="L12:L18" si="1">H12</f>
        <v>#N/A</v>
      </c>
      <c r="M12" s="918"/>
      <c r="N12" s="336"/>
      <c r="O12" s="328" t="s">
        <v>77</v>
      </c>
      <c r="P12" s="329">
        <f>P5</f>
        <v>95077.270000000019</v>
      </c>
      <c r="Q12" s="329">
        <f>SUM(K24+K43+K62+K81+K100+K119+K138+K157+K176+K195)</f>
        <v>0</v>
      </c>
      <c r="R12" s="329">
        <f>Q12-P12</f>
        <v>-95077.270000000019</v>
      </c>
      <c r="S12" s="330">
        <f>R12/P12</f>
        <v>-1</v>
      </c>
      <c r="T12" s="336"/>
      <c r="U12" s="995" t="s">
        <v>110</v>
      </c>
      <c r="V12" s="996"/>
      <c r="W12" s="997">
        <f>Q6-Q13</f>
        <v>0</v>
      </c>
      <c r="X12" s="998"/>
      <c r="Y12" s="497"/>
      <c r="Z12" s="336"/>
      <c r="AA12" s="299"/>
    </row>
    <row r="13" spans="1:27" ht="15" customHeight="1" x14ac:dyDescent="0.2">
      <c r="A13" s="286"/>
      <c r="B13" s="938" t="s">
        <v>36</v>
      </c>
      <c r="C13" s="939"/>
      <c r="D13" s="936" t="str">
        <f>INTAKE!N$17</f>
        <v>0</v>
      </c>
      <c r="E13" s="937"/>
      <c r="F13" s="1003"/>
      <c r="G13" s="1004"/>
      <c r="H13" s="917" t="e">
        <f>VLOOKUP(I10,[3]PLANS!$A$1:$H$107,3,FALSE)</f>
        <v>#N/A</v>
      </c>
      <c r="I13" s="918"/>
      <c r="J13" s="919" t="e">
        <f t="shared" si="0"/>
        <v>#N/A</v>
      </c>
      <c r="K13" s="991"/>
      <c r="L13" s="921" t="e">
        <f t="shared" si="1"/>
        <v>#N/A</v>
      </c>
      <c r="M13" s="918"/>
      <c r="N13" s="336"/>
      <c r="O13" s="328" t="s">
        <v>81</v>
      </c>
      <c r="P13" s="329">
        <f>P6</f>
        <v>1140927.24</v>
      </c>
      <c r="Q13" s="329">
        <f>SUM(K25+K44+K63+K82+K101+K120+K139+K158+K177+K196)</f>
        <v>0</v>
      </c>
      <c r="R13" s="329">
        <f>Q13-P13</f>
        <v>-1140927.24</v>
      </c>
      <c r="S13" s="340">
        <f>R13/P13</f>
        <v>-1</v>
      </c>
      <c r="T13" s="336"/>
      <c r="U13" s="497"/>
      <c r="V13" s="497"/>
      <c r="W13" s="497"/>
      <c r="X13" s="497"/>
      <c r="Y13" s="497"/>
      <c r="Z13" s="336"/>
      <c r="AA13" s="299"/>
    </row>
    <row r="14" spans="1:27" ht="15" customHeight="1" thickBot="1" x14ac:dyDescent="0.25">
      <c r="A14" s="286"/>
      <c r="B14" s="945" t="s">
        <v>37</v>
      </c>
      <c r="C14" s="946"/>
      <c r="D14" s="936" t="str">
        <f>INTAKE!O$17</f>
        <v>2X2</v>
      </c>
      <c r="E14" s="937"/>
      <c r="F14" s="1003"/>
      <c r="G14" s="1004"/>
      <c r="H14" s="917" t="e">
        <f>VLOOKUP(I10,[3]PLANS!$A$1:$H$107,4,FALSE)</f>
        <v>#N/A</v>
      </c>
      <c r="I14" s="918"/>
      <c r="J14" s="919" t="e">
        <f t="shared" si="0"/>
        <v>#N/A</v>
      </c>
      <c r="K14" s="991"/>
      <c r="L14" s="921" t="e">
        <f t="shared" si="1"/>
        <v>#N/A</v>
      </c>
      <c r="M14" s="918"/>
      <c r="N14" s="336"/>
      <c r="O14" s="328" t="s">
        <v>83</v>
      </c>
      <c r="P14" s="331">
        <f>P7</f>
        <v>95077.270000000019</v>
      </c>
      <c r="Q14" s="331">
        <f>Q12</f>
        <v>0</v>
      </c>
      <c r="R14" s="329">
        <f>Q14-P14</f>
        <v>-95077.270000000019</v>
      </c>
      <c r="S14" s="330">
        <f>R14/P14</f>
        <v>-1</v>
      </c>
      <c r="T14" s="336"/>
      <c r="U14" s="497"/>
      <c r="V14" s="497"/>
      <c r="W14" s="497"/>
      <c r="X14" s="497"/>
      <c r="Y14" s="497"/>
      <c r="Z14" s="336"/>
      <c r="AA14" s="299"/>
    </row>
    <row r="15" spans="1:27" ht="15" customHeight="1" thickTop="1" thickBot="1" x14ac:dyDescent="0.25">
      <c r="A15" s="286"/>
      <c r="B15" s="934" t="s">
        <v>38</v>
      </c>
      <c r="C15" s="935"/>
      <c r="D15" s="915" t="str">
        <f>INTAKE!P$17</f>
        <v>$30</v>
      </c>
      <c r="E15" s="916"/>
      <c r="F15" s="1003"/>
      <c r="G15" s="1004"/>
      <c r="H15" s="917" t="e">
        <f>VLOOKUP(I10,[3]PLANS!$A$1:$H$107,5,FALSE)</f>
        <v>#N/A</v>
      </c>
      <c r="I15" s="918"/>
      <c r="J15" s="919" t="e">
        <f t="shared" si="0"/>
        <v>#N/A</v>
      </c>
      <c r="K15" s="991"/>
      <c r="L15" s="921" t="e">
        <f t="shared" si="1"/>
        <v>#N/A</v>
      </c>
      <c r="M15" s="918"/>
      <c r="N15" s="336"/>
      <c r="O15" s="328" t="s">
        <v>84</v>
      </c>
      <c r="P15" s="331">
        <f>P8</f>
        <v>1140927.24</v>
      </c>
      <c r="Q15" s="331">
        <f>Q13</f>
        <v>0</v>
      </c>
      <c r="R15" s="329">
        <f>Q15-P15</f>
        <v>-1140927.24</v>
      </c>
      <c r="S15" s="340">
        <f>R15/P15</f>
        <v>-1</v>
      </c>
      <c r="T15" s="336"/>
      <c r="U15" s="992" t="s">
        <v>1864</v>
      </c>
      <c r="V15" s="992"/>
      <c r="W15" s="992"/>
      <c r="X15" s="992"/>
      <c r="Y15" s="992"/>
      <c r="Z15" s="993"/>
      <c r="AA15" s="299"/>
    </row>
    <row r="16" spans="1:27" ht="15" customHeight="1" thickTop="1" thickBot="1" x14ac:dyDescent="0.25">
      <c r="A16" s="286"/>
      <c r="B16" s="934" t="s">
        <v>39</v>
      </c>
      <c r="C16" s="935"/>
      <c r="D16" s="915" t="str">
        <f>INTAKE!Q$17</f>
        <v>$500</v>
      </c>
      <c r="E16" s="916"/>
      <c r="F16" s="1003"/>
      <c r="G16" s="1004"/>
      <c r="H16" s="917" t="e">
        <f>VLOOKUP(I10,[3]PLANS!$A$1:$H$107,6,FALSE)</f>
        <v>#N/A</v>
      </c>
      <c r="I16" s="918"/>
      <c r="J16" s="919" t="e">
        <f t="shared" si="0"/>
        <v>#N/A</v>
      </c>
      <c r="K16" s="991"/>
      <c r="L16" s="921" t="e">
        <f t="shared" si="1"/>
        <v>#N/A</v>
      </c>
      <c r="M16" s="918"/>
      <c r="N16" s="336"/>
      <c r="O16" s="497"/>
      <c r="P16" s="497"/>
      <c r="Q16" s="497"/>
      <c r="R16" s="497"/>
      <c r="S16" s="497"/>
      <c r="T16" s="336"/>
      <c r="U16" s="337" t="s">
        <v>54</v>
      </c>
      <c r="V16" s="338" t="s">
        <v>55</v>
      </c>
      <c r="W16" s="338" t="s">
        <v>111</v>
      </c>
      <c r="X16" s="338" t="s">
        <v>112</v>
      </c>
      <c r="Y16" s="338" t="s">
        <v>113</v>
      </c>
      <c r="Z16" s="339"/>
      <c r="AA16" s="299"/>
    </row>
    <row r="17" spans="1:27" ht="15" customHeight="1" thickTop="1" thickBot="1" x14ac:dyDescent="0.25">
      <c r="A17" s="286"/>
      <c r="B17" s="934" t="s">
        <v>90</v>
      </c>
      <c r="C17" s="935"/>
      <c r="D17" s="936" t="str">
        <f>INTAKE!R$17</f>
        <v>$250</v>
      </c>
      <c r="E17" s="937"/>
      <c r="F17" s="1003"/>
      <c r="G17" s="1004"/>
      <c r="H17" s="917" t="e">
        <f>VLOOKUP(I10,[3]PLANS!$A$1:$H$107,7,FALSE)</f>
        <v>#N/A</v>
      </c>
      <c r="I17" s="918"/>
      <c r="J17" s="919" t="e">
        <f t="shared" si="0"/>
        <v>#N/A</v>
      </c>
      <c r="K17" s="991"/>
      <c r="L17" s="921" t="e">
        <f t="shared" si="1"/>
        <v>#N/A</v>
      </c>
      <c r="M17" s="918"/>
      <c r="N17" s="336"/>
      <c r="O17" s="992" t="s">
        <v>97</v>
      </c>
      <c r="P17" s="992"/>
      <c r="Q17" s="992"/>
      <c r="R17" s="992"/>
      <c r="S17" s="993"/>
      <c r="T17" s="336"/>
      <c r="U17" s="596"/>
      <c r="V17" s="597"/>
      <c r="W17" s="597"/>
      <c r="X17" s="597"/>
      <c r="Y17" s="597"/>
      <c r="Z17" s="598">
        <f>SUM(U18:Y18)*0.01</f>
        <v>0</v>
      </c>
      <c r="AA17" s="299"/>
    </row>
    <row r="18" spans="1:27" ht="15" customHeight="1" thickTop="1" thickBot="1" x14ac:dyDescent="0.25">
      <c r="A18" s="286"/>
      <c r="B18" s="938" t="s">
        <v>92</v>
      </c>
      <c r="C18" s="939"/>
      <c r="D18" s="936" t="str">
        <f>INTAKE!S$17</f>
        <v>$10/20/35</v>
      </c>
      <c r="E18" s="937"/>
      <c r="F18" s="1005"/>
      <c r="G18" s="1006"/>
      <c r="H18" s="940" t="e">
        <f>VLOOKUP(I10,[3]PLANS!$A$1:$H$107,8,FALSE)</f>
        <v>#N/A</v>
      </c>
      <c r="I18" s="941"/>
      <c r="J18" s="942" t="e">
        <f t="shared" si="0"/>
        <v>#N/A</v>
      </c>
      <c r="K18" s="994"/>
      <c r="L18" s="944" t="e">
        <f t="shared" si="1"/>
        <v>#N/A</v>
      </c>
      <c r="M18" s="941"/>
      <c r="N18" s="336"/>
      <c r="O18" s="332"/>
      <c r="P18" s="333" t="s">
        <v>70</v>
      </c>
      <c r="Q18" s="334" t="s">
        <v>99</v>
      </c>
      <c r="R18" s="334" t="s">
        <v>72</v>
      </c>
      <c r="S18" s="335" t="s">
        <v>73</v>
      </c>
      <c r="T18" s="336"/>
      <c r="U18" s="600" t="str">
        <f>IF(U17="","",1)</f>
        <v/>
      </c>
      <c r="V18" s="600" t="str">
        <f t="shared" ref="V18:W18" si="2">IF(V17="","",1)</f>
        <v/>
      </c>
      <c r="W18" s="600" t="str">
        <f t="shared" si="2"/>
        <v/>
      </c>
      <c r="X18" s="600" t="str">
        <f>IF(X17="","",0.5)</f>
        <v/>
      </c>
      <c r="Y18" s="600" t="str">
        <f>IF(Y17="","",0.5)</f>
        <v/>
      </c>
      <c r="Z18" s="599"/>
      <c r="AA18" s="299"/>
    </row>
    <row r="19" spans="1:27" ht="15" customHeight="1" thickTop="1" thickBot="1" x14ac:dyDescent="0.25">
      <c r="A19" s="286"/>
      <c r="B19" s="922" t="s">
        <v>93</v>
      </c>
      <c r="C19" s="923"/>
      <c r="D19" s="245" t="s">
        <v>29</v>
      </c>
      <c r="E19" s="246" t="s">
        <v>94</v>
      </c>
      <c r="F19" s="247" t="s">
        <v>29</v>
      </c>
      <c r="G19" s="248" t="s">
        <v>94</v>
      </c>
      <c r="H19" s="366" t="s">
        <v>29</v>
      </c>
      <c r="I19" s="249" t="s">
        <v>94</v>
      </c>
      <c r="J19" s="250" t="s">
        <v>29</v>
      </c>
      <c r="K19" s="251" t="s">
        <v>94</v>
      </c>
      <c r="L19" s="252" t="s">
        <v>29</v>
      </c>
      <c r="M19" s="249" t="s">
        <v>94</v>
      </c>
      <c r="N19" s="336"/>
      <c r="O19" s="328" t="s">
        <v>77</v>
      </c>
      <c r="P19" s="329">
        <f>P5</f>
        <v>95077.270000000019</v>
      </c>
      <c r="Q19" s="329">
        <f>M24+M43+M62+M81+M100+M119+M138+M157+M176+M195</f>
        <v>0</v>
      </c>
      <c r="R19" s="329">
        <f>Q19-P19</f>
        <v>-95077.270000000019</v>
      </c>
      <c r="S19" s="330">
        <f>R19/P19</f>
        <v>-1</v>
      </c>
      <c r="T19" s="509"/>
      <c r="U19" s="992" t="s">
        <v>1916</v>
      </c>
      <c r="V19" s="992"/>
      <c r="W19" s="992"/>
      <c r="X19" s="993"/>
      <c r="Y19" s="498"/>
      <c r="Z19" s="498"/>
      <c r="AA19" s="498"/>
    </row>
    <row r="20" spans="1:27" ht="15" customHeight="1" thickTop="1" thickBot="1" x14ac:dyDescent="0.25">
      <c r="A20" s="286"/>
      <c r="B20" s="699" t="s">
        <v>95</v>
      </c>
      <c r="C20" s="237">
        <f>INTAKE!I$18</f>
        <v>11</v>
      </c>
      <c r="D20" s="236">
        <f>INTAKE!I17</f>
        <v>641</v>
      </c>
      <c r="E20" s="234">
        <f>C20*D20</f>
        <v>7051</v>
      </c>
      <c r="F20" s="233">
        <f>SUM(1+G11/1)*D20</f>
        <v>641</v>
      </c>
      <c r="G20" s="364">
        <f>C20*F20</f>
        <v>7051</v>
      </c>
      <c r="H20" s="368">
        <v>0</v>
      </c>
      <c r="I20" s="365">
        <f>C20*H20</f>
        <v>0</v>
      </c>
      <c r="J20" s="230">
        <f>IF($U$20&lt;0%,0,SUM(H20)*(1-K10)*1)</f>
        <v>0</v>
      </c>
      <c r="K20" s="231">
        <f>IF(J20=0,0,C20*J20)</f>
        <v>0</v>
      </c>
      <c r="L20" s="244">
        <f>IF($Z$17=0,0,SUM(J20)*(1-M10)*1)</f>
        <v>0</v>
      </c>
      <c r="M20" s="242">
        <f>C20*L20</f>
        <v>0</v>
      </c>
      <c r="N20" s="336"/>
      <c r="O20" s="328" t="s">
        <v>81</v>
      </c>
      <c r="P20" s="329">
        <f>P6</f>
        <v>1140927.24</v>
      </c>
      <c r="Q20" s="329">
        <f>M25+M44+M63+M82+M101+M120+M139+M158+M177+M196</f>
        <v>0</v>
      </c>
      <c r="R20" s="329">
        <f>Q20-P20</f>
        <v>-1140927.24</v>
      </c>
      <c r="S20" s="340">
        <f>R20/P20</f>
        <v>-1</v>
      </c>
      <c r="T20" s="336"/>
      <c r="U20" s="700">
        <f>SUM(F6+H6+J6)</f>
        <v>0</v>
      </c>
      <c r="V20" s="498"/>
      <c r="W20" s="498"/>
      <c r="X20" s="498"/>
      <c r="Y20" s="498"/>
      <c r="Z20" s="498"/>
      <c r="AA20" s="498"/>
    </row>
    <row r="21" spans="1:27" ht="15" customHeight="1" x14ac:dyDescent="0.2">
      <c r="A21" s="286"/>
      <c r="B21" s="699" t="s">
        <v>1914</v>
      </c>
      <c r="C21" s="237">
        <f>INTAKE!J$18</f>
        <v>6</v>
      </c>
      <c r="D21" s="236">
        <f>INTAKE!J17</f>
        <v>1442.27</v>
      </c>
      <c r="E21" s="234">
        <f t="shared" ref="E21:E22" si="3">C21*D21</f>
        <v>8653.619999999999</v>
      </c>
      <c r="F21" s="233">
        <f>SUM(1+G11/1)*D21</f>
        <v>1442.27</v>
      </c>
      <c r="G21" s="232">
        <f t="shared" ref="G21:G22" si="4">C21*F21</f>
        <v>8653.619999999999</v>
      </c>
      <c r="H21" s="367">
        <f>2.2*H20</f>
        <v>0</v>
      </c>
      <c r="I21" s="242">
        <f>C21*H21</f>
        <v>0</v>
      </c>
      <c r="J21" s="230">
        <f>IF($U$20&lt;0%,0,SUM(H21)*(1-K10)*1)</f>
        <v>0</v>
      </c>
      <c r="K21" s="231">
        <f t="shared" ref="K21:K22" si="5">IF(J21=0,0,C21*J21)</f>
        <v>0</v>
      </c>
      <c r="L21" s="244">
        <f>IF($Z$17=0,0,SUM(J21)*(1-M10)*1)</f>
        <v>0</v>
      </c>
      <c r="M21" s="242">
        <f>C21*L21</f>
        <v>0</v>
      </c>
      <c r="N21" s="336"/>
      <c r="O21" s="328" t="s">
        <v>83</v>
      </c>
      <c r="P21" s="331">
        <f>P7</f>
        <v>95077.270000000019</v>
      </c>
      <c r="Q21" s="331">
        <f>Q19</f>
        <v>0</v>
      </c>
      <c r="R21" s="329">
        <f>Q21-P21</f>
        <v>-95077.270000000019</v>
      </c>
      <c r="S21" s="330">
        <f>R21/P21</f>
        <v>-1</v>
      </c>
      <c r="T21" s="336"/>
      <c r="U21" s="498"/>
      <c r="V21" s="498"/>
      <c r="W21" s="498"/>
      <c r="X21" s="498"/>
      <c r="Y21" s="498"/>
      <c r="Z21" s="498"/>
      <c r="AA21" s="498"/>
    </row>
    <row r="22" spans="1:27" ht="15" customHeight="1" x14ac:dyDescent="0.2">
      <c r="A22" s="286"/>
      <c r="B22" s="699" t="s">
        <v>1915</v>
      </c>
      <c r="C22" s="237">
        <f>INTAKE!K$18</f>
        <v>1</v>
      </c>
      <c r="D22" s="236">
        <f>INTAKE!K17</f>
        <v>1249.96</v>
      </c>
      <c r="E22" s="234">
        <f t="shared" si="3"/>
        <v>1249.96</v>
      </c>
      <c r="F22" s="233">
        <f>SUM(1+G11/1)*D22</f>
        <v>1249.96</v>
      </c>
      <c r="G22" s="232">
        <f t="shared" si="4"/>
        <v>1249.96</v>
      </c>
      <c r="H22" s="243">
        <f>1.8*H20</f>
        <v>0</v>
      </c>
      <c r="I22" s="242">
        <f>C22*H22</f>
        <v>0</v>
      </c>
      <c r="J22" s="230">
        <f>IF($U$20&lt;0%,0,SUM(H22)*(1-K10)*1)</f>
        <v>0</v>
      </c>
      <c r="K22" s="231">
        <f t="shared" si="5"/>
        <v>0</v>
      </c>
      <c r="L22" s="244">
        <f>IF($Z$17=0,0,SUM(J22)*(1-M10)*1)</f>
        <v>0</v>
      </c>
      <c r="M22" s="242">
        <f>C22*L22</f>
        <v>0</v>
      </c>
      <c r="N22" s="336"/>
      <c r="O22" s="328" t="s">
        <v>84</v>
      </c>
      <c r="P22" s="331">
        <f>P8</f>
        <v>1140927.24</v>
      </c>
      <c r="Q22" s="331">
        <f>Q20</f>
        <v>0</v>
      </c>
      <c r="R22" s="329">
        <f>Q22-P22</f>
        <v>-1140927.24</v>
      </c>
      <c r="S22" s="340">
        <f>R22/P22</f>
        <v>-1</v>
      </c>
      <c r="T22" s="336"/>
      <c r="U22" s="498"/>
      <c r="V22" s="498"/>
      <c r="W22" s="498"/>
      <c r="X22" s="498"/>
      <c r="Y22" s="498"/>
      <c r="Z22" s="498"/>
      <c r="AA22" s="498"/>
    </row>
    <row r="23" spans="1:27" ht="15" customHeight="1" x14ac:dyDescent="0.2">
      <c r="A23" s="286"/>
      <c r="B23" s="699"/>
      <c r="C23" s="237">
        <f>INTAKE!L$18</f>
        <v>2</v>
      </c>
      <c r="D23" s="694"/>
      <c r="E23" s="695"/>
      <c r="F23" s="694"/>
      <c r="G23" s="695"/>
      <c r="H23" s="694"/>
      <c r="I23" s="695"/>
      <c r="J23" s="694"/>
      <c r="K23" s="695"/>
      <c r="L23" s="694"/>
      <c r="M23" s="695"/>
      <c r="N23" s="336"/>
      <c r="O23" s="590"/>
      <c r="P23" s="591"/>
      <c r="Q23" s="591"/>
      <c r="R23" s="591"/>
      <c r="S23" s="591"/>
      <c r="T23" s="336"/>
      <c r="U23" s="299"/>
      <c r="V23" s="498"/>
      <c r="W23" s="498"/>
      <c r="X23" s="498"/>
      <c r="Y23" s="498"/>
      <c r="Z23" s="498"/>
      <c r="AA23" s="498"/>
    </row>
    <row r="24" spans="1:27" ht="15" customHeight="1" x14ac:dyDescent="0.2">
      <c r="A24" s="286"/>
      <c r="B24" s="924"/>
      <c r="C24" s="925"/>
      <c r="D24" s="358" t="s">
        <v>1734</v>
      </c>
      <c r="E24" s="356">
        <f>SUM(E20:E23)</f>
        <v>16954.579999999998</v>
      </c>
      <c r="F24" s="362" t="s">
        <v>1734</v>
      </c>
      <c r="G24" s="360">
        <f>SUM(G20:G23)</f>
        <v>16954.579999999998</v>
      </c>
      <c r="H24" s="346" t="s">
        <v>1734</v>
      </c>
      <c r="I24" s="347">
        <f>SUM(I20:I23)</f>
        <v>0</v>
      </c>
      <c r="J24" s="350" t="s">
        <v>1734</v>
      </c>
      <c r="K24" s="351">
        <f>IF($M$6&lt;0%=0,0,SUM(K20:K23))</f>
        <v>0</v>
      </c>
      <c r="L24" s="352" t="s">
        <v>1734</v>
      </c>
      <c r="M24" s="347">
        <f>SUM(M20:M23)</f>
        <v>0</v>
      </c>
      <c r="N24" s="336"/>
      <c r="O24" s="498"/>
      <c r="P24" s="498"/>
      <c r="Q24" s="498"/>
      <c r="R24" s="498"/>
      <c r="S24" s="498"/>
      <c r="T24" s="498"/>
      <c r="U24" s="299"/>
      <c r="V24" s="498"/>
      <c r="W24" s="498"/>
      <c r="X24" s="498"/>
      <c r="Y24" s="498"/>
      <c r="Z24" s="498"/>
      <c r="AA24" s="498"/>
    </row>
    <row r="25" spans="1:27" ht="15" customHeight="1" x14ac:dyDescent="0.2">
      <c r="A25" s="286"/>
      <c r="B25" s="926"/>
      <c r="C25" s="927"/>
      <c r="D25" s="358" t="s">
        <v>1767</v>
      </c>
      <c r="E25" s="359">
        <f>E24*12</f>
        <v>203454.95999999996</v>
      </c>
      <c r="F25" s="362" t="s">
        <v>1767</v>
      </c>
      <c r="G25" s="363">
        <f>G24*12</f>
        <v>203454.95999999996</v>
      </c>
      <c r="H25" s="348" t="s">
        <v>1767</v>
      </c>
      <c r="I25" s="349">
        <f>I24*12</f>
        <v>0</v>
      </c>
      <c r="J25" s="353" t="s">
        <v>1767</v>
      </c>
      <c r="K25" s="354">
        <f>K24*12</f>
        <v>0</v>
      </c>
      <c r="L25" s="355" t="s">
        <v>1767</v>
      </c>
      <c r="M25" s="349">
        <f>M24*12</f>
        <v>0</v>
      </c>
      <c r="N25" s="336"/>
      <c r="O25" s="498"/>
      <c r="P25" s="498"/>
      <c r="Q25" s="498"/>
      <c r="R25" s="498"/>
      <c r="S25" s="498"/>
      <c r="T25" s="498"/>
      <c r="U25" s="299"/>
      <c r="V25" s="498"/>
      <c r="W25" s="498"/>
      <c r="X25" s="498"/>
      <c r="Y25" s="498"/>
      <c r="Z25" s="498"/>
      <c r="AA25" s="498"/>
    </row>
    <row r="26" spans="1:27" ht="15" customHeight="1" thickBot="1" x14ac:dyDescent="0.25">
      <c r="A26" s="286"/>
      <c r="B26" s="928"/>
      <c r="C26" s="929"/>
      <c r="D26" s="930"/>
      <c r="E26" s="931"/>
      <c r="F26" s="932"/>
      <c r="G26" s="933"/>
      <c r="H26" s="255" t="s">
        <v>1731</v>
      </c>
      <c r="I26" s="256" t="str">
        <f>IF(I24&lt;1,"",(E25-I25)/E25*-1)</f>
        <v/>
      </c>
      <c r="J26" s="257" t="s">
        <v>1731</v>
      </c>
      <c r="K26" s="258">
        <f>IF(K25=0,0,(E25-K25)/E25*-1)</f>
        <v>0</v>
      </c>
      <c r="L26" s="259" t="s">
        <v>1731</v>
      </c>
      <c r="M26" s="256">
        <f>IF(I24=0,0,(E25-M25)/E25*-1)</f>
        <v>0</v>
      </c>
      <c r="N26" s="336"/>
      <c r="O26" s="498"/>
      <c r="P26" s="498"/>
      <c r="Q26" s="498"/>
      <c r="R26" s="498"/>
      <c r="S26" s="498"/>
      <c r="T26" s="498"/>
      <c r="U26" s="299"/>
      <c r="V26" s="498"/>
      <c r="W26" s="498"/>
      <c r="X26" s="498"/>
      <c r="Y26" s="498"/>
      <c r="Z26" s="498"/>
      <c r="AA26" s="498"/>
    </row>
    <row r="27" spans="1:27" ht="15" customHeight="1" thickTop="1" thickBot="1" x14ac:dyDescent="0.25">
      <c r="A27" s="286"/>
      <c r="B27" s="974" t="s">
        <v>101</v>
      </c>
      <c r="C27" s="975"/>
      <c r="D27" s="980" t="s">
        <v>68</v>
      </c>
      <c r="E27" s="981"/>
      <c r="F27" s="981"/>
      <c r="G27" s="982"/>
      <c r="H27" s="959" t="s">
        <v>69</v>
      </c>
      <c r="I27" s="960"/>
      <c r="J27" s="960"/>
      <c r="K27" s="960"/>
      <c r="L27" s="960"/>
      <c r="M27" s="961"/>
      <c r="N27" s="336"/>
      <c r="O27" s="498"/>
      <c r="P27" s="498"/>
      <c r="Q27" s="498"/>
      <c r="R27" s="498"/>
      <c r="S27" s="498"/>
      <c r="T27" s="498"/>
      <c r="U27" s="299"/>
      <c r="V27" s="498"/>
      <c r="W27" s="498"/>
      <c r="X27" s="498"/>
      <c r="Y27" s="498"/>
      <c r="Z27" s="498"/>
      <c r="AA27" s="498"/>
    </row>
    <row r="28" spans="1:27" ht="15" customHeight="1" thickTop="1" thickBot="1" x14ac:dyDescent="0.25">
      <c r="A28" s="286"/>
      <c r="B28" s="976"/>
      <c r="C28" s="977"/>
      <c r="D28" s="962" t="s">
        <v>74</v>
      </c>
      <c r="E28" s="963"/>
      <c r="F28" s="966" t="s">
        <v>75</v>
      </c>
      <c r="G28" s="967"/>
      <c r="H28" s="970" t="s">
        <v>76</v>
      </c>
      <c r="I28" s="971"/>
      <c r="J28" s="972" t="s">
        <v>1735</v>
      </c>
      <c r="K28" s="973"/>
      <c r="L28" s="970" t="s">
        <v>1736</v>
      </c>
      <c r="M28" s="971"/>
      <c r="N28" s="336"/>
      <c r="O28" s="498"/>
      <c r="P28" s="498"/>
      <c r="Q28" s="498"/>
      <c r="R28" s="498"/>
      <c r="S28" s="498"/>
      <c r="T28" s="498"/>
      <c r="U28" s="299"/>
      <c r="V28" s="498"/>
      <c r="W28" s="498"/>
      <c r="X28" s="498"/>
      <c r="Y28" s="498"/>
      <c r="Z28" s="498"/>
      <c r="AA28" s="498"/>
    </row>
    <row r="29" spans="1:27" ht="15" customHeight="1" collapsed="1" thickTop="1" thickBot="1" x14ac:dyDescent="0.25">
      <c r="A29" s="286"/>
      <c r="B29" s="976"/>
      <c r="C29" s="977"/>
      <c r="D29" s="964"/>
      <c r="E29" s="965"/>
      <c r="F29" s="968"/>
      <c r="G29" s="969"/>
      <c r="H29" s="343" t="s">
        <v>1732</v>
      </c>
      <c r="I29" s="341"/>
      <c r="J29" s="345" t="s">
        <v>1733</v>
      </c>
      <c r="K29" s="577">
        <f>IF(E30=0,0,VLOOKUP(E30,RBRATES,2,0))</f>
        <v>0.05</v>
      </c>
      <c r="L29" s="343" t="s">
        <v>80</v>
      </c>
      <c r="M29" s="510">
        <f>$Z$18</f>
        <v>0</v>
      </c>
      <c r="N29" s="336"/>
      <c r="O29" s="498"/>
      <c r="P29" s="498"/>
      <c r="Q29" s="498"/>
      <c r="R29" s="498"/>
      <c r="S29" s="498"/>
      <c r="T29" s="498"/>
      <c r="U29" s="299"/>
      <c r="V29" s="498"/>
      <c r="W29" s="498"/>
      <c r="X29" s="498"/>
      <c r="Y29" s="498"/>
      <c r="Z29" s="498"/>
      <c r="AA29" s="498"/>
    </row>
    <row r="30" spans="1:27" ht="15" customHeight="1" thickTop="1" thickBot="1" x14ac:dyDescent="0.25">
      <c r="A30" s="286"/>
      <c r="B30" s="978"/>
      <c r="C30" s="979"/>
      <c r="D30" s="565" t="s">
        <v>1850</v>
      </c>
      <c r="E30" s="562" t="str">
        <f>INTAKE!C19</f>
        <v>HMO</v>
      </c>
      <c r="F30" s="342" t="s">
        <v>78</v>
      </c>
      <c r="G30" s="564">
        <f>IF(E30="HMO",$F$5,IF(E30="PPO",$H$5,IF(E30="CDHP",$J$5)))</f>
        <v>0</v>
      </c>
      <c r="H30" s="344" t="s">
        <v>82</v>
      </c>
      <c r="I30" s="341"/>
      <c r="J30" s="947"/>
      <c r="K30" s="948"/>
      <c r="L30" s="949"/>
      <c r="M30" s="950"/>
      <c r="N30" s="336"/>
      <c r="O30" s="498"/>
      <c r="P30" s="498"/>
      <c r="Q30" s="498"/>
      <c r="R30" s="498"/>
      <c r="S30" s="498"/>
      <c r="T30" s="498"/>
      <c r="U30" s="299"/>
      <c r="V30" s="498"/>
      <c r="W30" s="498"/>
      <c r="X30" s="498"/>
      <c r="Y30" s="498"/>
      <c r="Z30" s="498"/>
      <c r="AA30" s="498"/>
    </row>
    <row r="31" spans="1:27" ht="15" customHeight="1" thickTop="1" x14ac:dyDescent="0.2">
      <c r="A31" s="286"/>
      <c r="B31" s="951" t="s">
        <v>32</v>
      </c>
      <c r="C31" s="952"/>
      <c r="D31" s="953" t="str">
        <f>INTAKE!D$19</f>
        <v>LOW HMO (avn - VALUE)</v>
      </c>
      <c r="E31" s="954"/>
      <c r="F31" s="955"/>
      <c r="G31" s="956"/>
      <c r="H31" s="917" t="e">
        <f>VLOOKUP(I29,[3]PLANS!$A$1:$H$107,2,FALSE)</f>
        <v>#N/A</v>
      </c>
      <c r="I31" s="958"/>
      <c r="J31" s="919" t="e">
        <f t="shared" ref="J31:J37" si="6">H31</f>
        <v>#N/A</v>
      </c>
      <c r="K31" s="920"/>
      <c r="L31" s="921" t="e">
        <f t="shared" ref="L31:L37" si="7">H31</f>
        <v>#N/A</v>
      </c>
      <c r="M31" s="918"/>
      <c r="N31" s="336"/>
      <c r="O31" s="498"/>
      <c r="P31" s="498"/>
      <c r="Q31" s="498"/>
      <c r="R31" s="498"/>
      <c r="S31" s="498"/>
      <c r="T31" s="498"/>
      <c r="U31" s="299"/>
      <c r="V31" s="498"/>
      <c r="W31" s="498"/>
      <c r="X31" s="498"/>
      <c r="Y31" s="498"/>
      <c r="Z31" s="498"/>
      <c r="AA31" s="498"/>
    </row>
    <row r="32" spans="1:27" ht="15" customHeight="1" x14ac:dyDescent="0.2">
      <c r="A32" s="286"/>
      <c r="B32" s="938" t="s">
        <v>36</v>
      </c>
      <c r="C32" s="939"/>
      <c r="D32" s="936" t="str">
        <f>INTAKE!N$19</f>
        <v>0</v>
      </c>
      <c r="E32" s="937"/>
      <c r="F32" s="955"/>
      <c r="G32" s="957"/>
      <c r="H32" s="917" t="e">
        <f>VLOOKUP(I29,[3]PLANS!$A$1:$H$107,3,FALSE)</f>
        <v>#N/A</v>
      </c>
      <c r="I32" s="918"/>
      <c r="J32" s="919" t="e">
        <f t="shared" si="6"/>
        <v>#N/A</v>
      </c>
      <c r="K32" s="920"/>
      <c r="L32" s="921" t="e">
        <f t="shared" si="7"/>
        <v>#N/A</v>
      </c>
      <c r="M32" s="918"/>
      <c r="N32" s="336"/>
      <c r="O32" s="498"/>
      <c r="P32" s="498"/>
      <c r="Q32" s="498"/>
      <c r="R32" s="498"/>
      <c r="S32" s="498"/>
      <c r="T32" s="498"/>
      <c r="U32" s="299"/>
      <c r="V32" s="498"/>
      <c r="W32" s="498"/>
      <c r="X32" s="498"/>
      <c r="Y32" s="498"/>
      <c r="Z32" s="498"/>
      <c r="AA32" s="498"/>
    </row>
    <row r="33" spans="1:27" ht="15" customHeight="1" x14ac:dyDescent="0.2">
      <c r="A33" s="286"/>
      <c r="B33" s="945" t="s">
        <v>37</v>
      </c>
      <c r="C33" s="946"/>
      <c r="D33" s="936" t="str">
        <f>INTAKE!O$19</f>
        <v>2X2</v>
      </c>
      <c r="E33" s="937"/>
      <c r="F33" s="955"/>
      <c r="G33" s="957"/>
      <c r="H33" s="917" t="e">
        <f>VLOOKUP(I29,[3]PLANS!$A$1:$H$107,4,FALSE)</f>
        <v>#N/A</v>
      </c>
      <c r="I33" s="918"/>
      <c r="J33" s="919" t="e">
        <f t="shared" si="6"/>
        <v>#N/A</v>
      </c>
      <c r="K33" s="920"/>
      <c r="L33" s="921" t="e">
        <f t="shared" si="7"/>
        <v>#N/A</v>
      </c>
      <c r="M33" s="918"/>
      <c r="N33" s="336"/>
      <c r="O33" s="498"/>
      <c r="P33" s="498"/>
      <c r="Q33" s="498"/>
      <c r="R33" s="498"/>
      <c r="S33" s="498"/>
      <c r="T33" s="498"/>
      <c r="U33" s="299"/>
      <c r="V33" s="498"/>
      <c r="W33" s="498"/>
      <c r="X33" s="498"/>
      <c r="Y33" s="498"/>
      <c r="Z33" s="498"/>
      <c r="AA33" s="498"/>
    </row>
    <row r="34" spans="1:27" ht="15" customHeight="1" x14ac:dyDescent="0.2">
      <c r="A34" s="286"/>
      <c r="B34" s="934" t="s">
        <v>38</v>
      </c>
      <c r="C34" s="935"/>
      <c r="D34" s="915" t="str">
        <f>INTAKE!P$19</f>
        <v>$20/40</v>
      </c>
      <c r="E34" s="916"/>
      <c r="F34" s="955"/>
      <c r="G34" s="957"/>
      <c r="H34" s="917" t="e">
        <f>VLOOKUP(I29,[3]PLANS!$A$1:$H$107,5,FALSE)</f>
        <v>#N/A</v>
      </c>
      <c r="I34" s="918"/>
      <c r="J34" s="919" t="e">
        <f t="shared" si="6"/>
        <v>#N/A</v>
      </c>
      <c r="K34" s="920"/>
      <c r="L34" s="921" t="e">
        <f t="shared" si="7"/>
        <v>#N/A</v>
      </c>
      <c r="M34" s="918"/>
      <c r="N34" s="336"/>
      <c r="O34" s="498"/>
      <c r="P34" s="498"/>
      <c r="Q34" s="498"/>
      <c r="R34" s="498"/>
      <c r="S34" s="498"/>
      <c r="T34" s="498"/>
      <c r="U34" s="299"/>
      <c r="V34" s="498"/>
      <c r="W34" s="498"/>
      <c r="X34" s="498"/>
      <c r="Y34" s="498"/>
      <c r="Z34" s="498"/>
      <c r="AA34" s="498"/>
    </row>
    <row r="35" spans="1:27" ht="15" customHeight="1" x14ac:dyDescent="0.2">
      <c r="A35" s="286"/>
      <c r="B35" s="934" t="s">
        <v>39</v>
      </c>
      <c r="C35" s="935"/>
      <c r="D35" s="915" t="str">
        <f>INTAKE!Q$19</f>
        <v>$500</v>
      </c>
      <c r="E35" s="916"/>
      <c r="F35" s="955"/>
      <c r="G35" s="957"/>
      <c r="H35" s="917" t="e">
        <f>VLOOKUP(I29,[3]PLANS!$A$1:$H$107,6,FALSE)</f>
        <v>#N/A</v>
      </c>
      <c r="I35" s="918"/>
      <c r="J35" s="919" t="e">
        <f t="shared" si="6"/>
        <v>#N/A</v>
      </c>
      <c r="K35" s="920"/>
      <c r="L35" s="921" t="e">
        <f t="shared" si="7"/>
        <v>#N/A</v>
      </c>
      <c r="M35" s="918"/>
      <c r="N35" s="336"/>
      <c r="O35" s="498"/>
      <c r="P35" s="498"/>
      <c r="Q35" s="498"/>
      <c r="R35" s="498"/>
      <c r="S35" s="498"/>
      <c r="T35" s="498"/>
      <c r="U35" s="299"/>
      <c r="V35" s="498"/>
      <c r="W35" s="498"/>
      <c r="X35" s="498"/>
      <c r="Y35" s="498"/>
      <c r="Z35" s="498"/>
      <c r="AA35" s="498"/>
    </row>
    <row r="36" spans="1:27" ht="15" customHeight="1" x14ac:dyDescent="0.2">
      <c r="A36" s="286"/>
      <c r="B36" s="934" t="s">
        <v>90</v>
      </c>
      <c r="C36" s="935"/>
      <c r="D36" s="936" t="str">
        <f>INTAKE!R$19</f>
        <v>$250</v>
      </c>
      <c r="E36" s="937"/>
      <c r="F36" s="955"/>
      <c r="G36" s="957"/>
      <c r="H36" s="917" t="e">
        <f>VLOOKUP(I29,[3]PLANS!$A$1:$H$107,7,FALSE)</f>
        <v>#N/A</v>
      </c>
      <c r="I36" s="918"/>
      <c r="J36" s="919" t="e">
        <f t="shared" si="6"/>
        <v>#N/A</v>
      </c>
      <c r="K36" s="920"/>
      <c r="L36" s="921" t="e">
        <f t="shared" si="7"/>
        <v>#N/A</v>
      </c>
      <c r="M36" s="918"/>
      <c r="N36" s="336"/>
      <c r="O36" s="498"/>
      <c r="P36" s="498"/>
      <c r="Q36" s="498"/>
      <c r="R36" s="498"/>
      <c r="S36" s="498"/>
      <c r="T36" s="498"/>
      <c r="U36" s="299"/>
      <c r="V36" s="498"/>
      <c r="W36" s="498"/>
      <c r="X36" s="498"/>
      <c r="Y36" s="498"/>
      <c r="Z36" s="498"/>
      <c r="AA36" s="498"/>
    </row>
    <row r="37" spans="1:27" ht="15" customHeight="1" x14ac:dyDescent="0.2">
      <c r="A37" s="286"/>
      <c r="B37" s="938" t="s">
        <v>92</v>
      </c>
      <c r="C37" s="939"/>
      <c r="D37" s="936" t="str">
        <f>INTAKE!S$19</f>
        <v>$10/20/35</v>
      </c>
      <c r="E37" s="937"/>
      <c r="F37" s="955"/>
      <c r="G37" s="957"/>
      <c r="H37" s="940" t="e">
        <f>VLOOKUP(I29,[3]PLANS!$A$1:$H$107,8,FALSE)</f>
        <v>#N/A</v>
      </c>
      <c r="I37" s="941"/>
      <c r="J37" s="942" t="e">
        <f t="shared" si="6"/>
        <v>#N/A</v>
      </c>
      <c r="K37" s="943"/>
      <c r="L37" s="944" t="e">
        <f t="shared" si="7"/>
        <v>#N/A</v>
      </c>
      <c r="M37" s="941"/>
      <c r="N37" s="336"/>
      <c r="O37" s="498"/>
      <c r="P37" s="498"/>
      <c r="Q37" s="498"/>
      <c r="R37" s="498"/>
      <c r="S37" s="498"/>
      <c r="T37" s="498"/>
      <c r="U37" s="299"/>
      <c r="V37" s="498"/>
      <c r="W37" s="498"/>
      <c r="X37" s="498"/>
      <c r="Y37" s="498"/>
      <c r="Z37" s="498"/>
      <c r="AA37" s="498"/>
    </row>
    <row r="38" spans="1:27" ht="15" customHeight="1" thickBot="1" x14ac:dyDescent="0.25">
      <c r="A38" s="286"/>
      <c r="B38" s="922" t="s">
        <v>93</v>
      </c>
      <c r="C38" s="923"/>
      <c r="D38" s="245" t="s">
        <v>29</v>
      </c>
      <c r="E38" s="246" t="s">
        <v>94</v>
      </c>
      <c r="F38" s="247" t="s">
        <v>29</v>
      </c>
      <c r="G38" s="248" t="s">
        <v>94</v>
      </c>
      <c r="H38" s="366" t="s">
        <v>29</v>
      </c>
      <c r="I38" s="249" t="s">
        <v>94</v>
      </c>
      <c r="J38" s="250" t="s">
        <v>29</v>
      </c>
      <c r="K38" s="251" t="s">
        <v>94</v>
      </c>
      <c r="L38" s="252" t="s">
        <v>29</v>
      </c>
      <c r="M38" s="249" t="s">
        <v>94</v>
      </c>
      <c r="N38" s="336"/>
      <c r="O38" s="498"/>
      <c r="P38" s="498"/>
      <c r="Q38" s="498"/>
      <c r="R38" s="498"/>
      <c r="S38" s="498"/>
      <c r="T38" s="498"/>
      <c r="U38" s="299"/>
      <c r="V38" s="498"/>
      <c r="W38" s="498"/>
      <c r="X38" s="498"/>
      <c r="Y38" s="498"/>
      <c r="Z38" s="498"/>
      <c r="AA38" s="498"/>
    </row>
    <row r="39" spans="1:27" ht="15" customHeight="1" thickBot="1" x14ac:dyDescent="0.25">
      <c r="A39" s="286"/>
      <c r="B39" s="699" t="s">
        <v>95</v>
      </c>
      <c r="C39" s="237">
        <f>INTAKE!I$20</f>
        <v>61</v>
      </c>
      <c r="D39" s="236">
        <f>INTAKE!I19</f>
        <v>506.73</v>
      </c>
      <c r="E39" s="234">
        <f>C39*D39</f>
        <v>30910.530000000002</v>
      </c>
      <c r="F39" s="233">
        <f>SUM(1+G30/1)*D39</f>
        <v>506.73</v>
      </c>
      <c r="G39" s="364">
        <f>C39*F39</f>
        <v>30910.530000000002</v>
      </c>
      <c r="H39" s="368">
        <v>0</v>
      </c>
      <c r="I39" s="365">
        <f>C39*H39</f>
        <v>0</v>
      </c>
      <c r="J39" s="230">
        <f>IF($U$20&lt;0%,0,SUM(H39)*(1-K29)*1)</f>
        <v>0</v>
      </c>
      <c r="K39" s="231">
        <f>IF(J39=0,0,C39*J39)</f>
        <v>0</v>
      </c>
      <c r="L39" s="244">
        <f>IF($Z$17=0,0,SUM(J39)*(1-M29)*1)</f>
        <v>0</v>
      </c>
      <c r="M39" s="242">
        <f>C39*L39</f>
        <v>0</v>
      </c>
      <c r="N39" s="336"/>
      <c r="O39" s="498"/>
      <c r="P39" s="498"/>
      <c r="Q39" s="498"/>
      <c r="R39" s="498"/>
      <c r="S39" s="498"/>
      <c r="T39" s="498"/>
      <c r="U39" s="299"/>
      <c r="V39" s="498"/>
      <c r="W39" s="498"/>
      <c r="X39" s="498"/>
      <c r="Y39" s="498"/>
      <c r="Z39" s="498"/>
      <c r="AA39" s="498"/>
    </row>
    <row r="40" spans="1:27" ht="15" customHeight="1" x14ac:dyDescent="0.2">
      <c r="A40" s="286"/>
      <c r="B40" s="699" t="s">
        <v>1914</v>
      </c>
      <c r="C40" s="237">
        <f>INTAKE!J$20</f>
        <v>24</v>
      </c>
      <c r="D40" s="236">
        <f>INTAKE!J19</f>
        <v>1140.1300000000001</v>
      </c>
      <c r="E40" s="234">
        <f t="shared" ref="E40:E41" si="8">C40*D40</f>
        <v>27363.120000000003</v>
      </c>
      <c r="F40" s="233">
        <f>SUM(1+G30/1)*D40</f>
        <v>1140.1300000000001</v>
      </c>
      <c r="G40" s="232">
        <f t="shared" ref="G40:G41" si="9">C40*F40</f>
        <v>27363.120000000003</v>
      </c>
      <c r="H40" s="367">
        <f>2.2*H39</f>
        <v>0</v>
      </c>
      <c r="I40" s="242">
        <f>C40*H40</f>
        <v>0</v>
      </c>
      <c r="J40" s="230">
        <f>IF($U$20&lt;0%,0,SUM(H40)*(1-K29)*1)</f>
        <v>0</v>
      </c>
      <c r="K40" s="231">
        <f t="shared" ref="K40:K41" si="10">IF(J40=0,0,C40*J40)</f>
        <v>0</v>
      </c>
      <c r="L40" s="244">
        <f>IF($Z$17=0,0,SUM(J40)*(1-M29)*1)</f>
        <v>0</v>
      </c>
      <c r="M40" s="242">
        <f>C40*L40</f>
        <v>0</v>
      </c>
      <c r="N40" s="336"/>
      <c r="O40" s="498"/>
      <c r="P40" s="498"/>
      <c r="Q40" s="498"/>
      <c r="R40" s="498"/>
      <c r="S40" s="498"/>
      <c r="T40" s="498"/>
      <c r="U40" s="299"/>
      <c r="V40" s="498"/>
      <c r="W40" s="498"/>
      <c r="X40" s="498"/>
      <c r="Y40" s="498"/>
      <c r="Z40" s="498"/>
      <c r="AA40" s="498"/>
    </row>
    <row r="41" spans="1:27" ht="15" customHeight="1" x14ac:dyDescent="0.2">
      <c r="A41" s="286"/>
      <c r="B41" s="699" t="s">
        <v>1915</v>
      </c>
      <c r="C41" s="237">
        <f>INTAKE!K$20</f>
        <v>12</v>
      </c>
      <c r="D41" s="236">
        <f>INTAKE!K19</f>
        <v>913.28</v>
      </c>
      <c r="E41" s="234">
        <f t="shared" si="8"/>
        <v>10959.36</v>
      </c>
      <c r="F41" s="233">
        <f>SUM(1+G30/1)*D41</f>
        <v>913.28</v>
      </c>
      <c r="G41" s="232">
        <f t="shared" si="9"/>
        <v>10959.36</v>
      </c>
      <c r="H41" s="243">
        <f>1.8*H39</f>
        <v>0</v>
      </c>
      <c r="I41" s="242">
        <f>C41*H41</f>
        <v>0</v>
      </c>
      <c r="J41" s="230">
        <f>IF($U$20&lt;0%,0,SUM(H41)*(1-K29)*1)</f>
        <v>0</v>
      </c>
      <c r="K41" s="231">
        <f t="shared" si="10"/>
        <v>0</v>
      </c>
      <c r="L41" s="244">
        <f>IF($Z$17=0,0,SUM(J41)*(1-M29)*1)</f>
        <v>0</v>
      </c>
      <c r="M41" s="242">
        <f>C41*L41</f>
        <v>0</v>
      </c>
      <c r="N41" s="336"/>
      <c r="O41" s="498"/>
      <c r="P41" s="498"/>
      <c r="Q41" s="498"/>
      <c r="R41" s="498"/>
      <c r="S41" s="498"/>
      <c r="T41" s="498"/>
      <c r="U41" s="299"/>
      <c r="V41" s="498"/>
      <c r="W41" s="498"/>
      <c r="X41" s="498"/>
      <c r="Y41" s="498"/>
      <c r="Z41" s="498"/>
      <c r="AA41" s="498"/>
    </row>
    <row r="42" spans="1:27" ht="15" customHeight="1" x14ac:dyDescent="0.2">
      <c r="A42" s="286"/>
      <c r="B42" s="699"/>
      <c r="C42" s="237">
        <f>INTAKE!L$20</f>
        <v>40</v>
      </c>
      <c r="D42" s="694"/>
      <c r="E42" s="695"/>
      <c r="F42" s="694"/>
      <c r="G42" s="695"/>
      <c r="H42" s="694"/>
      <c r="I42" s="695"/>
      <c r="J42" s="694"/>
      <c r="K42" s="695"/>
      <c r="L42" s="694"/>
      <c r="M42" s="695"/>
      <c r="N42" s="336"/>
      <c r="O42" s="498"/>
      <c r="P42" s="499"/>
      <c r="Q42" s="499"/>
      <c r="R42" s="499"/>
      <c r="S42" s="499"/>
      <c r="T42" s="499"/>
      <c r="U42" s="299"/>
      <c r="V42" s="498"/>
      <c r="W42" s="498"/>
      <c r="X42" s="498"/>
      <c r="Y42" s="498"/>
      <c r="Z42" s="498"/>
      <c r="AA42" s="498"/>
    </row>
    <row r="43" spans="1:27" ht="15" customHeight="1" x14ac:dyDescent="0.2">
      <c r="A43" s="286"/>
      <c r="B43" s="924"/>
      <c r="C43" s="925"/>
      <c r="D43" s="358" t="s">
        <v>1734</v>
      </c>
      <c r="E43" s="356">
        <f>SUM(E39:E42)</f>
        <v>69233.010000000009</v>
      </c>
      <c r="F43" s="362" t="s">
        <v>1734</v>
      </c>
      <c r="G43" s="360">
        <f>SUM(G39:G42)</f>
        <v>69233.010000000009</v>
      </c>
      <c r="H43" s="346" t="s">
        <v>1734</v>
      </c>
      <c r="I43" s="347">
        <f>SUM(I39:I42)</f>
        <v>0</v>
      </c>
      <c r="J43" s="350" t="s">
        <v>1734</v>
      </c>
      <c r="K43" s="351">
        <f>IF($M$6&lt;0%=0,0,SUM(K39:K42))</f>
        <v>0</v>
      </c>
      <c r="L43" s="352" t="s">
        <v>1734</v>
      </c>
      <c r="M43" s="347">
        <f>SUM(M39:M42)</f>
        <v>0</v>
      </c>
      <c r="N43" s="336"/>
      <c r="O43" s="299"/>
      <c r="P43" s="299"/>
      <c r="Q43" s="299"/>
      <c r="R43" s="299"/>
      <c r="S43" s="299"/>
      <c r="T43" s="299"/>
      <c r="U43" s="299"/>
      <c r="V43" s="498"/>
      <c r="W43" s="498"/>
      <c r="X43" s="498"/>
      <c r="Y43" s="498"/>
      <c r="Z43" s="498"/>
      <c r="AA43" s="498"/>
    </row>
    <row r="44" spans="1:27" ht="15" customHeight="1" collapsed="1" x14ac:dyDescent="0.2">
      <c r="A44" s="286"/>
      <c r="B44" s="926"/>
      <c r="C44" s="927"/>
      <c r="D44" s="358" t="s">
        <v>1767</v>
      </c>
      <c r="E44" s="359">
        <f>E43*12</f>
        <v>830796.12000000011</v>
      </c>
      <c r="F44" s="362" t="s">
        <v>1767</v>
      </c>
      <c r="G44" s="363">
        <f>G43*12</f>
        <v>830796.12000000011</v>
      </c>
      <c r="H44" s="348" t="s">
        <v>1767</v>
      </c>
      <c r="I44" s="349">
        <f>I43*12</f>
        <v>0</v>
      </c>
      <c r="J44" s="353" t="s">
        <v>1767</v>
      </c>
      <c r="K44" s="354">
        <f>K43*12</f>
        <v>0</v>
      </c>
      <c r="L44" s="355" t="s">
        <v>1767</v>
      </c>
      <c r="M44" s="349">
        <f>M43*12</f>
        <v>0</v>
      </c>
      <c r="N44" s="336"/>
      <c r="O44" s="299"/>
      <c r="P44" s="299"/>
      <c r="Q44" s="299"/>
      <c r="R44" s="299"/>
      <c r="S44" s="299"/>
      <c r="T44" s="299"/>
      <c r="U44" s="299"/>
      <c r="V44" s="498"/>
      <c r="W44" s="498"/>
      <c r="X44" s="498"/>
      <c r="Y44" s="498"/>
      <c r="Z44" s="498"/>
      <c r="AA44" s="498"/>
    </row>
    <row r="45" spans="1:27" ht="15" customHeight="1" thickBot="1" x14ac:dyDescent="0.25">
      <c r="A45" s="286"/>
      <c r="B45" s="928"/>
      <c r="C45" s="929"/>
      <c r="D45" s="930"/>
      <c r="E45" s="931"/>
      <c r="F45" s="932"/>
      <c r="G45" s="933"/>
      <c r="H45" s="255" t="s">
        <v>1731</v>
      </c>
      <c r="I45" s="256" t="str">
        <f>IF(I43&lt;1,"",(E44-I44)/E44*-1)</f>
        <v/>
      </c>
      <c r="J45" s="257" t="s">
        <v>1731</v>
      </c>
      <c r="K45" s="258">
        <f>IF(K44=0,0,(E44-K44)/E44*-1)</f>
        <v>0</v>
      </c>
      <c r="L45" s="259" t="s">
        <v>1731</v>
      </c>
      <c r="M45" s="256">
        <f>IF(I43=0,0,(E44-M44)/E44*-1)</f>
        <v>0</v>
      </c>
      <c r="N45" s="336"/>
      <c r="O45" s="299"/>
      <c r="P45" s="299"/>
      <c r="Q45" s="299"/>
      <c r="R45" s="299"/>
      <c r="S45" s="299"/>
      <c r="T45" s="299"/>
      <c r="U45" s="299"/>
      <c r="V45" s="498"/>
      <c r="W45" s="498"/>
      <c r="X45" s="498"/>
      <c r="Y45" s="498"/>
      <c r="Z45" s="498"/>
      <c r="AA45" s="498"/>
    </row>
    <row r="46" spans="1:27" ht="15" customHeight="1" thickTop="1" thickBot="1" x14ac:dyDescent="0.25">
      <c r="A46" s="286"/>
      <c r="B46" s="974" t="s">
        <v>114</v>
      </c>
      <c r="C46" s="975"/>
      <c r="D46" s="980" t="s">
        <v>68</v>
      </c>
      <c r="E46" s="981"/>
      <c r="F46" s="981"/>
      <c r="G46" s="982"/>
      <c r="H46" s="959" t="s">
        <v>69</v>
      </c>
      <c r="I46" s="960"/>
      <c r="J46" s="960"/>
      <c r="K46" s="960"/>
      <c r="L46" s="960"/>
      <c r="M46" s="961"/>
      <c r="N46" s="336"/>
      <c r="O46" s="299"/>
      <c r="P46" s="299"/>
      <c r="Q46" s="299"/>
      <c r="R46" s="299"/>
      <c r="S46" s="299"/>
      <c r="T46" s="299"/>
      <c r="U46" s="299"/>
      <c r="V46" s="498"/>
      <c r="W46" s="498"/>
      <c r="X46" s="498"/>
      <c r="Y46" s="498"/>
      <c r="Z46" s="498"/>
      <c r="AA46" s="498"/>
    </row>
    <row r="47" spans="1:27" ht="15" customHeight="1" thickTop="1" thickBot="1" x14ac:dyDescent="0.25">
      <c r="A47" s="286"/>
      <c r="B47" s="976"/>
      <c r="C47" s="977"/>
      <c r="D47" s="962" t="s">
        <v>74</v>
      </c>
      <c r="E47" s="963"/>
      <c r="F47" s="966" t="s">
        <v>75</v>
      </c>
      <c r="G47" s="967"/>
      <c r="H47" s="970" t="s">
        <v>76</v>
      </c>
      <c r="I47" s="971"/>
      <c r="J47" s="972" t="s">
        <v>1735</v>
      </c>
      <c r="K47" s="973"/>
      <c r="L47" s="970" t="s">
        <v>1736</v>
      </c>
      <c r="M47" s="971"/>
      <c r="N47" s="336"/>
      <c r="O47" s="299"/>
      <c r="P47" s="299"/>
      <c r="Q47" s="299"/>
      <c r="R47" s="299"/>
      <c r="S47" s="299"/>
      <c r="T47" s="299"/>
      <c r="U47" s="299"/>
      <c r="V47" s="498"/>
      <c r="W47" s="498"/>
      <c r="X47" s="498"/>
      <c r="Y47" s="498"/>
      <c r="Z47" s="498"/>
      <c r="AA47" s="498"/>
    </row>
    <row r="48" spans="1:27" ht="15" customHeight="1" thickTop="1" thickBot="1" x14ac:dyDescent="0.25">
      <c r="A48" s="286"/>
      <c r="B48" s="976"/>
      <c r="C48" s="977"/>
      <c r="D48" s="964"/>
      <c r="E48" s="965"/>
      <c r="F48" s="968"/>
      <c r="G48" s="969"/>
      <c r="H48" s="343" t="s">
        <v>1732</v>
      </c>
      <c r="I48" s="341"/>
      <c r="J48" s="345" t="s">
        <v>1733</v>
      </c>
      <c r="K48" s="577">
        <f>IF(E49=0,0,VLOOKUP(E49,RBRATES,2,0))</f>
        <v>0.25</v>
      </c>
      <c r="L48" s="343" t="s">
        <v>80</v>
      </c>
      <c r="M48" s="510">
        <f>$Z$18</f>
        <v>0</v>
      </c>
      <c r="N48" s="336"/>
      <c r="O48" s="299"/>
      <c r="P48" s="299"/>
      <c r="Q48" s="299"/>
      <c r="R48" s="299"/>
      <c r="S48" s="299"/>
      <c r="T48" s="299"/>
      <c r="U48" s="299"/>
      <c r="V48" s="498"/>
      <c r="W48" s="498"/>
      <c r="X48" s="498"/>
      <c r="Y48" s="498"/>
      <c r="Z48" s="498"/>
      <c r="AA48" s="498"/>
    </row>
    <row r="49" spans="1:27" ht="15" customHeight="1" thickTop="1" thickBot="1" x14ac:dyDescent="0.25">
      <c r="A49" s="286"/>
      <c r="B49" s="978"/>
      <c r="C49" s="979"/>
      <c r="D49" s="565" t="s">
        <v>1850</v>
      </c>
      <c r="E49" s="562" t="str">
        <f>INTAKE!C21</f>
        <v>PPO</v>
      </c>
      <c r="F49" s="342" t="s">
        <v>78</v>
      </c>
      <c r="G49" s="564">
        <f>IF(E49="HMO",$F$5,IF(E49="PPO",$H$5,IF(E49="CDHP",$J$5)))</f>
        <v>0</v>
      </c>
      <c r="H49" s="344" t="s">
        <v>82</v>
      </c>
      <c r="I49" s="341"/>
      <c r="J49" s="947"/>
      <c r="K49" s="948"/>
      <c r="L49" s="949"/>
      <c r="M49" s="950"/>
      <c r="N49" s="336"/>
      <c r="O49" s="299"/>
      <c r="P49" s="299"/>
      <c r="Q49" s="299"/>
      <c r="R49" s="299"/>
      <c r="S49" s="299"/>
      <c r="T49" s="299"/>
      <c r="U49" s="299"/>
      <c r="V49" s="498"/>
      <c r="W49" s="498"/>
      <c r="X49" s="498"/>
      <c r="Y49" s="498"/>
      <c r="Z49" s="498"/>
      <c r="AA49" s="498"/>
    </row>
    <row r="50" spans="1:27" ht="15" customHeight="1" thickTop="1" x14ac:dyDescent="0.2">
      <c r="A50" s="286"/>
      <c r="B50" s="951" t="s">
        <v>32</v>
      </c>
      <c r="C50" s="952"/>
      <c r="D50" s="953" t="str">
        <f>INTAKE!D21</f>
        <v>PPO</v>
      </c>
      <c r="E50" s="954"/>
      <c r="F50" s="955"/>
      <c r="G50" s="956"/>
      <c r="H50" s="917" t="e">
        <f>VLOOKUP(I48,[3]PLANS!$A$1:$H$107,2,FALSE)</f>
        <v>#N/A</v>
      </c>
      <c r="I50" s="958"/>
      <c r="J50" s="919" t="e">
        <f t="shared" ref="J50:J56" si="11">H50</f>
        <v>#N/A</v>
      </c>
      <c r="K50" s="920"/>
      <c r="L50" s="921" t="e">
        <f t="shared" ref="L50:L56" si="12">H50</f>
        <v>#N/A</v>
      </c>
      <c r="M50" s="918"/>
      <c r="N50" s="336"/>
      <c r="O50" s="299"/>
      <c r="P50" s="299"/>
      <c r="Q50" s="299"/>
      <c r="R50" s="299"/>
      <c r="S50" s="299"/>
      <c r="T50" s="299"/>
      <c r="U50" s="299"/>
      <c r="V50" s="498"/>
      <c r="W50" s="498"/>
      <c r="X50" s="498"/>
      <c r="Y50" s="498"/>
      <c r="Z50" s="498"/>
      <c r="AA50" s="498"/>
    </row>
    <row r="51" spans="1:27" ht="15" customHeight="1" x14ac:dyDescent="0.2">
      <c r="A51" s="286"/>
      <c r="B51" s="938" t="s">
        <v>36</v>
      </c>
      <c r="C51" s="939"/>
      <c r="D51" s="936" t="str">
        <f>INTAKE!N$21</f>
        <v>250X2/500X2</v>
      </c>
      <c r="E51" s="937"/>
      <c r="F51" s="955"/>
      <c r="G51" s="957"/>
      <c r="H51" s="917" t="e">
        <f>VLOOKUP(I48,[3]PLANS!$A$1:$H$107,3,FALSE)</f>
        <v>#N/A</v>
      </c>
      <c r="I51" s="918"/>
      <c r="J51" s="919" t="e">
        <f t="shared" si="11"/>
        <v>#N/A</v>
      </c>
      <c r="K51" s="920"/>
      <c r="L51" s="921" t="e">
        <f t="shared" si="12"/>
        <v>#N/A</v>
      </c>
      <c r="M51" s="918"/>
      <c r="N51" s="336"/>
      <c r="O51" s="299"/>
      <c r="P51" s="299"/>
      <c r="Q51" s="299"/>
      <c r="R51" s="299"/>
      <c r="S51" s="299"/>
      <c r="T51" s="299"/>
      <c r="U51" s="299"/>
      <c r="V51" s="498"/>
      <c r="W51" s="498"/>
      <c r="X51" s="498"/>
      <c r="Y51" s="498"/>
      <c r="Z51" s="498"/>
      <c r="AA51" s="498"/>
    </row>
    <row r="52" spans="1:27" ht="15" customHeight="1" x14ac:dyDescent="0.2">
      <c r="A52" s="286"/>
      <c r="B52" s="945" t="s">
        <v>37</v>
      </c>
      <c r="C52" s="946"/>
      <c r="D52" s="936" t="str">
        <f>INTAKE!O$21</f>
        <v>2250X2/4.5X2oon</v>
      </c>
      <c r="E52" s="937"/>
      <c r="F52" s="955"/>
      <c r="G52" s="957"/>
      <c r="H52" s="917" t="e">
        <f>VLOOKUP(I48,[3]PLANS!$A$1:$H$107,4,FALSE)</f>
        <v>#N/A</v>
      </c>
      <c r="I52" s="918"/>
      <c r="J52" s="919" t="e">
        <f t="shared" si="11"/>
        <v>#N/A</v>
      </c>
      <c r="K52" s="920"/>
      <c r="L52" s="921" t="e">
        <f t="shared" si="12"/>
        <v>#N/A</v>
      </c>
      <c r="M52" s="918"/>
      <c r="N52" s="336"/>
      <c r="O52" s="299"/>
      <c r="P52" s="299"/>
      <c r="Q52" s="299"/>
      <c r="R52" s="299"/>
      <c r="S52" s="299"/>
      <c r="T52" s="299"/>
      <c r="U52" s="299"/>
      <c r="V52" s="498"/>
      <c r="W52" s="498"/>
      <c r="X52" s="498"/>
      <c r="Y52" s="498"/>
      <c r="Z52" s="498"/>
      <c r="AA52" s="498"/>
    </row>
    <row r="53" spans="1:27" ht="15" customHeight="1" x14ac:dyDescent="0.2">
      <c r="A53" s="286"/>
      <c r="B53" s="934" t="s">
        <v>38</v>
      </c>
      <c r="C53" s="935"/>
      <c r="D53" s="915" t="str">
        <f>INTAKE!P$21</f>
        <v>$20</v>
      </c>
      <c r="E53" s="916"/>
      <c r="F53" s="955"/>
      <c r="G53" s="957"/>
      <c r="H53" s="917" t="e">
        <f>VLOOKUP(I48,[3]PLANS!$A$1:$H$107,5,FALSE)</f>
        <v>#N/A</v>
      </c>
      <c r="I53" s="918"/>
      <c r="J53" s="919" t="e">
        <f t="shared" si="11"/>
        <v>#N/A</v>
      </c>
      <c r="K53" s="920"/>
      <c r="L53" s="921" t="e">
        <f t="shared" si="12"/>
        <v>#N/A</v>
      </c>
      <c r="M53" s="918"/>
      <c r="N53" s="336"/>
      <c r="O53" s="299"/>
      <c r="P53" s="299"/>
      <c r="Q53" s="299"/>
      <c r="R53" s="299"/>
      <c r="S53" s="299"/>
      <c r="T53" s="299"/>
      <c r="U53" s="299"/>
      <c r="V53" s="498"/>
      <c r="W53" s="498"/>
      <c r="X53" s="498"/>
      <c r="Y53" s="498"/>
      <c r="Z53" s="498"/>
      <c r="AA53" s="498"/>
    </row>
    <row r="54" spans="1:27" ht="15" customHeight="1" x14ac:dyDescent="0.2">
      <c r="A54" s="286"/>
      <c r="B54" s="934" t="s">
        <v>39</v>
      </c>
      <c r="C54" s="935"/>
      <c r="D54" s="915" t="str">
        <f>INTAKE!Q$21</f>
        <v>20%/40%OON</v>
      </c>
      <c r="E54" s="916"/>
      <c r="F54" s="955"/>
      <c r="G54" s="957"/>
      <c r="H54" s="917" t="e">
        <f>VLOOKUP(I48,[3]PLANS!$A$1:$H$107,6,FALSE)</f>
        <v>#N/A</v>
      </c>
      <c r="I54" s="918"/>
      <c r="J54" s="919" t="e">
        <f t="shared" si="11"/>
        <v>#N/A</v>
      </c>
      <c r="K54" s="920"/>
      <c r="L54" s="921" t="e">
        <f t="shared" si="12"/>
        <v>#N/A</v>
      </c>
      <c r="M54" s="918"/>
      <c r="N54" s="336"/>
      <c r="O54" s="299"/>
      <c r="P54" s="299"/>
      <c r="Q54" s="299"/>
      <c r="R54" s="299"/>
      <c r="S54" s="299"/>
      <c r="T54" s="299"/>
      <c r="U54" s="299"/>
      <c r="V54" s="498"/>
      <c r="W54" s="498"/>
      <c r="X54" s="498"/>
      <c r="Y54" s="498"/>
      <c r="Z54" s="498"/>
      <c r="AA54" s="498"/>
    </row>
    <row r="55" spans="1:27" ht="15" customHeight="1" x14ac:dyDescent="0.2">
      <c r="A55" s="286"/>
      <c r="B55" s="934" t="s">
        <v>90</v>
      </c>
      <c r="C55" s="935"/>
      <c r="D55" s="936" t="str">
        <f>INTAKE!R$21</f>
        <v>20%/40%OON</v>
      </c>
      <c r="E55" s="937"/>
      <c r="F55" s="955"/>
      <c r="G55" s="957"/>
      <c r="H55" s="917" t="e">
        <f>VLOOKUP(I48,[3]PLANS!$A$1:$H$107,7,FALSE)</f>
        <v>#N/A</v>
      </c>
      <c r="I55" s="918"/>
      <c r="J55" s="919" t="e">
        <f t="shared" si="11"/>
        <v>#N/A</v>
      </c>
      <c r="K55" s="920"/>
      <c r="L55" s="921" t="e">
        <f t="shared" si="12"/>
        <v>#N/A</v>
      </c>
      <c r="M55" s="918"/>
      <c r="N55" s="336"/>
      <c r="O55" s="299"/>
      <c r="P55" s="299"/>
      <c r="Q55" s="299"/>
      <c r="R55" s="299"/>
      <c r="S55" s="299"/>
      <c r="T55" s="299"/>
      <c r="U55" s="299"/>
      <c r="V55" s="498"/>
      <c r="W55" s="498"/>
      <c r="X55" s="498"/>
      <c r="Y55" s="498"/>
      <c r="Z55" s="498"/>
      <c r="AA55" s="498"/>
    </row>
    <row r="56" spans="1:27" ht="15" customHeight="1" x14ac:dyDescent="0.2">
      <c r="A56" s="286"/>
      <c r="B56" s="938" t="s">
        <v>92</v>
      </c>
      <c r="C56" s="939"/>
      <c r="D56" s="936" t="str">
        <f>INTAKE!S$21</f>
        <v>$15/25/40</v>
      </c>
      <c r="E56" s="937"/>
      <c r="F56" s="955"/>
      <c r="G56" s="957"/>
      <c r="H56" s="940" t="e">
        <f>VLOOKUP(I48,[3]PLANS!$A$1:$H$107,8,FALSE)</f>
        <v>#N/A</v>
      </c>
      <c r="I56" s="941"/>
      <c r="J56" s="942" t="e">
        <f t="shared" si="11"/>
        <v>#N/A</v>
      </c>
      <c r="K56" s="943"/>
      <c r="L56" s="944" t="e">
        <f t="shared" si="12"/>
        <v>#N/A</v>
      </c>
      <c r="M56" s="941"/>
      <c r="N56" s="336"/>
      <c r="O56" s="299"/>
      <c r="P56" s="299"/>
      <c r="Q56" s="299"/>
      <c r="R56" s="299"/>
      <c r="S56" s="299"/>
      <c r="T56" s="299"/>
      <c r="U56" s="299"/>
      <c r="V56" s="498"/>
      <c r="W56" s="498"/>
      <c r="X56" s="498"/>
      <c r="Y56" s="498"/>
      <c r="Z56" s="498"/>
      <c r="AA56" s="498"/>
    </row>
    <row r="57" spans="1:27" ht="15" customHeight="1" thickBot="1" x14ac:dyDescent="0.25">
      <c r="A57" s="286"/>
      <c r="B57" s="922" t="s">
        <v>93</v>
      </c>
      <c r="C57" s="923"/>
      <c r="D57" s="245" t="s">
        <v>29</v>
      </c>
      <c r="E57" s="246" t="s">
        <v>94</v>
      </c>
      <c r="F57" s="247" t="s">
        <v>29</v>
      </c>
      <c r="G57" s="248" t="s">
        <v>94</v>
      </c>
      <c r="H57" s="366" t="s">
        <v>29</v>
      </c>
      <c r="I57" s="249" t="s">
        <v>94</v>
      </c>
      <c r="J57" s="250" t="s">
        <v>29</v>
      </c>
      <c r="K57" s="251" t="s">
        <v>94</v>
      </c>
      <c r="L57" s="252" t="s">
        <v>29</v>
      </c>
      <c r="M57" s="249" t="s">
        <v>94</v>
      </c>
      <c r="N57" s="336"/>
      <c r="O57" s="299"/>
      <c r="P57" s="299"/>
      <c r="Q57" s="299"/>
      <c r="R57" s="299"/>
      <c r="S57" s="299"/>
      <c r="T57" s="299"/>
      <c r="U57" s="299"/>
      <c r="V57" s="498"/>
      <c r="W57" s="498"/>
      <c r="X57" s="498"/>
      <c r="Y57" s="498"/>
      <c r="Z57" s="498"/>
      <c r="AA57" s="498"/>
    </row>
    <row r="58" spans="1:27" ht="15" customHeight="1" thickBot="1" x14ac:dyDescent="0.25">
      <c r="A58" s="286"/>
      <c r="B58" s="699" t="s">
        <v>95</v>
      </c>
      <c r="C58" s="237">
        <f>INTAKE!I$22</f>
        <v>4</v>
      </c>
      <c r="D58" s="236">
        <f>INTAKE!I21</f>
        <v>826.94</v>
      </c>
      <c r="E58" s="234">
        <f>C58*D58</f>
        <v>3307.76</v>
      </c>
      <c r="F58" s="233">
        <f>SUM(1+G49/1)*D58</f>
        <v>826.94</v>
      </c>
      <c r="G58" s="364">
        <f>C58*F58</f>
        <v>3307.76</v>
      </c>
      <c r="H58" s="368">
        <v>0</v>
      </c>
      <c r="I58" s="365">
        <f>C58*H58</f>
        <v>0</v>
      </c>
      <c r="J58" s="230">
        <f>IF($U$20&lt;0%,0,SUM(H58)*(1-K48)*1)</f>
        <v>0</v>
      </c>
      <c r="K58" s="231">
        <f>IF(J58=0,0,C58*J58)</f>
        <v>0</v>
      </c>
      <c r="L58" s="244">
        <f>IF($Z$17=0,0,SUM(J58)*(1-M48)*1)</f>
        <v>0</v>
      </c>
      <c r="M58" s="242">
        <f>C58*L58</f>
        <v>0</v>
      </c>
      <c r="N58" s="336"/>
      <c r="O58" s="299"/>
      <c r="P58" s="299"/>
      <c r="Q58" s="299"/>
      <c r="R58" s="299"/>
      <c r="S58" s="299"/>
      <c r="T58" s="299"/>
      <c r="U58" s="299"/>
      <c r="V58" s="498"/>
      <c r="W58" s="498"/>
      <c r="X58" s="498"/>
      <c r="Y58" s="498"/>
      <c r="Z58" s="498"/>
      <c r="AA58" s="498"/>
    </row>
    <row r="59" spans="1:27" ht="15" customHeight="1" x14ac:dyDescent="0.2">
      <c r="A59" s="286"/>
      <c r="B59" s="699" t="s">
        <v>1914</v>
      </c>
      <c r="C59" s="237">
        <f>INTAKE!J$22</f>
        <v>3</v>
      </c>
      <c r="D59" s="236">
        <f>INTAKE!J21</f>
        <v>1860.64</v>
      </c>
      <c r="E59" s="234">
        <f t="shared" ref="E59:E60" si="13">C59*D59</f>
        <v>5581.92</v>
      </c>
      <c r="F59" s="233">
        <f>SUM(1+G49/1)*D59</f>
        <v>1860.64</v>
      </c>
      <c r="G59" s="232">
        <f t="shared" ref="G59:G60" si="14">C59*F59</f>
        <v>5581.92</v>
      </c>
      <c r="H59" s="367">
        <f>2.2*H58</f>
        <v>0</v>
      </c>
      <c r="I59" s="242">
        <f>C59*H59</f>
        <v>0</v>
      </c>
      <c r="J59" s="230">
        <f>IF($U$20&lt;0%,0,SUM(H59)*(1-K48)*1)</f>
        <v>0</v>
      </c>
      <c r="K59" s="231">
        <f t="shared" ref="K59:K60" si="15">IF(J59=0,0,C59*J59)</f>
        <v>0</v>
      </c>
      <c r="L59" s="244">
        <f>IF($Z$17=0,0,SUM(J59)*(1-M48)*1)</f>
        <v>0</v>
      </c>
      <c r="M59" s="242">
        <f>C59*L59</f>
        <v>0</v>
      </c>
      <c r="N59" s="336"/>
      <c r="O59" s="299"/>
      <c r="P59" s="299"/>
      <c r="Q59" s="299"/>
      <c r="R59" s="299"/>
      <c r="S59" s="299"/>
      <c r="T59" s="299"/>
      <c r="U59" s="299"/>
      <c r="V59" s="498"/>
      <c r="W59" s="498"/>
      <c r="X59" s="498"/>
      <c r="Y59" s="498"/>
      <c r="Z59" s="498"/>
      <c r="AA59" s="498"/>
    </row>
    <row r="60" spans="1:27" ht="15" customHeight="1" x14ac:dyDescent="0.2">
      <c r="A60" s="286"/>
      <c r="B60" s="699" t="s">
        <v>1915</v>
      </c>
      <c r="C60" s="237">
        <f>INTAKE!K$22</f>
        <v>0</v>
      </c>
      <c r="D60" s="236">
        <f>INTAKE!K21</f>
        <v>1612.57</v>
      </c>
      <c r="E60" s="234">
        <f t="shared" si="13"/>
        <v>0</v>
      </c>
      <c r="F60" s="233">
        <f>SUM(1+G49/1)*D60</f>
        <v>1612.57</v>
      </c>
      <c r="G60" s="232">
        <f t="shared" si="14"/>
        <v>0</v>
      </c>
      <c r="H60" s="243">
        <f>1.8*H58</f>
        <v>0</v>
      </c>
      <c r="I60" s="242">
        <f>C60*H60</f>
        <v>0</v>
      </c>
      <c r="J60" s="230">
        <f>IF($U$20&lt;0%,0,SUM(H60)*(1-K48)*1)</f>
        <v>0</v>
      </c>
      <c r="K60" s="231">
        <f t="shared" si="15"/>
        <v>0</v>
      </c>
      <c r="L60" s="244">
        <f>IF($Z$17=0,0,SUM(J60)*(1-M48)*1)</f>
        <v>0</v>
      </c>
      <c r="M60" s="242">
        <f>C60*L60</f>
        <v>0</v>
      </c>
      <c r="N60" s="336"/>
      <c r="O60" s="299"/>
      <c r="P60" s="299"/>
      <c r="Q60" s="299"/>
      <c r="R60" s="299"/>
      <c r="S60" s="299"/>
      <c r="T60" s="299"/>
      <c r="U60" s="299"/>
      <c r="V60" s="498"/>
      <c r="W60" s="498"/>
      <c r="X60" s="498"/>
      <c r="Y60" s="498"/>
      <c r="Z60" s="498"/>
      <c r="AA60" s="498"/>
    </row>
    <row r="61" spans="1:27" ht="15" customHeight="1" x14ac:dyDescent="0.2">
      <c r="A61" s="286"/>
      <c r="B61" s="699"/>
      <c r="C61" s="237">
        <f>INTAKE!L$22</f>
        <v>1</v>
      </c>
      <c r="D61" s="694"/>
      <c r="E61" s="695"/>
      <c r="F61" s="694"/>
      <c r="G61" s="695"/>
      <c r="H61" s="694"/>
      <c r="I61" s="695"/>
      <c r="J61" s="694"/>
      <c r="K61" s="695"/>
      <c r="L61" s="694"/>
      <c r="M61" s="695"/>
      <c r="N61" s="336"/>
      <c r="O61" s="299"/>
      <c r="P61" s="299"/>
      <c r="Q61" s="299"/>
      <c r="R61" s="299"/>
      <c r="S61" s="299"/>
      <c r="T61" s="299"/>
      <c r="U61" s="299"/>
      <c r="V61" s="498"/>
      <c r="W61" s="498"/>
      <c r="X61" s="498"/>
      <c r="Y61" s="498"/>
      <c r="Z61" s="498"/>
      <c r="AA61" s="498"/>
    </row>
    <row r="62" spans="1:27" ht="15" customHeight="1" x14ac:dyDescent="0.2">
      <c r="A62" s="286"/>
      <c r="B62" s="924"/>
      <c r="C62" s="925"/>
      <c r="D62" s="358" t="s">
        <v>1734</v>
      </c>
      <c r="E62" s="356">
        <f>SUM(E58:E61)</f>
        <v>8889.68</v>
      </c>
      <c r="F62" s="362" t="s">
        <v>1734</v>
      </c>
      <c r="G62" s="360">
        <f>SUM(G58:G61)</f>
        <v>8889.68</v>
      </c>
      <c r="H62" s="346" t="s">
        <v>1734</v>
      </c>
      <c r="I62" s="347">
        <f>SUM(I58:I61)</f>
        <v>0</v>
      </c>
      <c r="J62" s="350" t="s">
        <v>1734</v>
      </c>
      <c r="K62" s="351">
        <f>IF($M$6&lt;0%=0,0,SUM(K58:K61))</f>
        <v>0</v>
      </c>
      <c r="L62" s="352" t="s">
        <v>1734</v>
      </c>
      <c r="M62" s="347">
        <f>SUM(M58:M61)</f>
        <v>0</v>
      </c>
      <c r="N62" s="336"/>
      <c r="O62" s="299"/>
      <c r="P62" s="299"/>
      <c r="Q62" s="299"/>
      <c r="R62" s="299"/>
      <c r="S62" s="299"/>
      <c r="T62" s="299"/>
      <c r="U62" s="299"/>
      <c r="V62" s="498"/>
      <c r="W62" s="498"/>
      <c r="X62" s="498"/>
      <c r="Y62" s="498"/>
      <c r="Z62" s="498"/>
      <c r="AA62" s="498"/>
    </row>
    <row r="63" spans="1:27" ht="15" customHeight="1" x14ac:dyDescent="0.2">
      <c r="A63" s="286"/>
      <c r="B63" s="926"/>
      <c r="C63" s="927"/>
      <c r="D63" s="358" t="s">
        <v>1767</v>
      </c>
      <c r="E63" s="359">
        <f>E62*12</f>
        <v>106676.16</v>
      </c>
      <c r="F63" s="362" t="s">
        <v>1767</v>
      </c>
      <c r="G63" s="363">
        <f>G62*12</f>
        <v>106676.16</v>
      </c>
      <c r="H63" s="348" t="s">
        <v>1767</v>
      </c>
      <c r="I63" s="349">
        <f>I62*12</f>
        <v>0</v>
      </c>
      <c r="J63" s="353" t="s">
        <v>1767</v>
      </c>
      <c r="K63" s="354">
        <f>K62*12</f>
        <v>0</v>
      </c>
      <c r="L63" s="355" t="s">
        <v>1767</v>
      </c>
      <c r="M63" s="349">
        <f>M62*12</f>
        <v>0</v>
      </c>
      <c r="N63" s="336"/>
      <c r="O63" s="299"/>
      <c r="P63" s="299"/>
      <c r="Q63" s="299"/>
      <c r="R63" s="299"/>
      <c r="S63" s="299"/>
      <c r="T63" s="299"/>
      <c r="U63" s="299"/>
      <c r="V63" s="498"/>
      <c r="W63" s="498"/>
      <c r="X63" s="498"/>
      <c r="Y63" s="498"/>
      <c r="Z63" s="498"/>
      <c r="AA63" s="498"/>
    </row>
    <row r="64" spans="1:27" ht="15" customHeight="1" thickBot="1" x14ac:dyDescent="0.25">
      <c r="A64" s="286"/>
      <c r="B64" s="928"/>
      <c r="C64" s="929"/>
      <c r="D64" s="930"/>
      <c r="E64" s="931"/>
      <c r="F64" s="932"/>
      <c r="G64" s="933"/>
      <c r="H64" s="255" t="s">
        <v>1731</v>
      </c>
      <c r="I64" s="256" t="str">
        <f>IF(I62&lt;1,"",(E63-I63)/E63*-1)</f>
        <v/>
      </c>
      <c r="J64" s="257" t="s">
        <v>1731</v>
      </c>
      <c r="K64" s="258">
        <f>IF(K63=0,0,(E63-K63)/E63*-1)</f>
        <v>0</v>
      </c>
      <c r="L64" s="259" t="s">
        <v>1731</v>
      </c>
      <c r="M64" s="256">
        <f>IF(I62=0,0,(E63-M63)/E63*-1)</f>
        <v>0</v>
      </c>
      <c r="N64" s="336"/>
      <c r="O64" s="299"/>
      <c r="P64" s="299"/>
      <c r="Q64" s="299"/>
      <c r="R64" s="299"/>
      <c r="S64" s="299"/>
      <c r="T64" s="299"/>
      <c r="U64" s="299"/>
      <c r="V64" s="498"/>
      <c r="W64" s="498"/>
      <c r="X64" s="498"/>
      <c r="Y64" s="498"/>
      <c r="Z64" s="498"/>
      <c r="AA64" s="498"/>
    </row>
    <row r="65" spans="1:27" ht="15" customHeight="1" thickTop="1" thickBot="1" x14ac:dyDescent="0.25">
      <c r="A65" s="286"/>
      <c r="B65" s="985" t="s">
        <v>116</v>
      </c>
      <c r="C65" s="986"/>
      <c r="D65" s="980" t="s">
        <v>68</v>
      </c>
      <c r="E65" s="981"/>
      <c r="F65" s="981"/>
      <c r="G65" s="982"/>
      <c r="H65" s="959" t="s">
        <v>69</v>
      </c>
      <c r="I65" s="960"/>
      <c r="J65" s="960"/>
      <c r="K65" s="960"/>
      <c r="L65" s="960"/>
      <c r="M65" s="961"/>
      <c r="N65" s="336"/>
      <c r="O65" s="299"/>
      <c r="P65" s="299"/>
      <c r="Q65" s="299"/>
      <c r="R65" s="299"/>
      <c r="S65" s="299"/>
      <c r="T65" s="299"/>
      <c r="U65" s="299"/>
      <c r="V65" s="498"/>
      <c r="W65" s="498"/>
      <c r="X65" s="498"/>
      <c r="Y65" s="498"/>
      <c r="Z65" s="498"/>
      <c r="AA65" s="498"/>
    </row>
    <row r="66" spans="1:27" ht="15" customHeight="1" thickTop="1" thickBot="1" x14ac:dyDescent="0.25">
      <c r="A66" s="286"/>
      <c r="B66" s="987"/>
      <c r="C66" s="988"/>
      <c r="D66" s="962" t="s">
        <v>74</v>
      </c>
      <c r="E66" s="963"/>
      <c r="F66" s="966" t="s">
        <v>75</v>
      </c>
      <c r="G66" s="967"/>
      <c r="H66" s="970" t="s">
        <v>76</v>
      </c>
      <c r="I66" s="971"/>
      <c r="J66" s="972" t="s">
        <v>1735</v>
      </c>
      <c r="K66" s="973"/>
      <c r="L66" s="970" t="s">
        <v>1736</v>
      </c>
      <c r="M66" s="971"/>
      <c r="N66" s="336"/>
      <c r="O66" s="299"/>
      <c r="P66" s="299"/>
      <c r="Q66" s="299"/>
      <c r="R66" s="299"/>
      <c r="S66" s="299"/>
      <c r="T66" s="299"/>
      <c r="U66" s="299"/>
      <c r="V66" s="498"/>
      <c r="W66" s="498"/>
      <c r="X66" s="498"/>
      <c r="Y66" s="498"/>
      <c r="Z66" s="498"/>
      <c r="AA66" s="498"/>
    </row>
    <row r="67" spans="1:27" ht="15" customHeight="1" thickTop="1" thickBot="1" x14ac:dyDescent="0.25">
      <c r="A67" s="286"/>
      <c r="B67" s="987"/>
      <c r="C67" s="988"/>
      <c r="D67" s="964"/>
      <c r="E67" s="965"/>
      <c r="F67" s="968"/>
      <c r="G67" s="969"/>
      <c r="H67" s="343" t="s">
        <v>1732</v>
      </c>
      <c r="I67" s="341"/>
      <c r="J67" s="345" t="s">
        <v>1733</v>
      </c>
      <c r="K67" s="577">
        <f>IF(E68=0,0,VLOOKUP(E68,RBRATES,2,0))</f>
        <v>0</v>
      </c>
      <c r="L67" s="343" t="s">
        <v>80</v>
      </c>
      <c r="M67" s="510">
        <f>$Z$18</f>
        <v>0</v>
      </c>
      <c r="N67" s="336"/>
      <c r="O67" s="299"/>
      <c r="P67" s="299"/>
      <c r="Q67" s="299"/>
      <c r="R67" s="299"/>
      <c r="S67" s="299"/>
      <c r="T67" s="299"/>
      <c r="U67" s="299"/>
      <c r="V67" s="498"/>
      <c r="W67" s="498"/>
      <c r="X67" s="498"/>
      <c r="Y67" s="498"/>
      <c r="Z67" s="498"/>
      <c r="AA67" s="498"/>
    </row>
    <row r="68" spans="1:27" ht="15" customHeight="1" thickTop="1" thickBot="1" x14ac:dyDescent="0.25">
      <c r="A68" s="286"/>
      <c r="B68" s="989"/>
      <c r="C68" s="990"/>
      <c r="D68" s="565" t="s">
        <v>1850</v>
      </c>
      <c r="E68" s="562">
        <f>INTAKE!C23</f>
        <v>0</v>
      </c>
      <c r="F68" s="342" t="s">
        <v>78</v>
      </c>
      <c r="G68" s="564" t="b">
        <f>IF(E68="HMO",$F$5,IF(E68="PPO",$H$5,IF(E68="CDHP",$J$5)))</f>
        <v>0</v>
      </c>
      <c r="H68" s="344" t="s">
        <v>82</v>
      </c>
      <c r="I68" s="341"/>
      <c r="J68" s="947"/>
      <c r="K68" s="948"/>
      <c r="L68" s="949"/>
      <c r="M68" s="950"/>
      <c r="N68" s="336"/>
      <c r="O68" s="299"/>
      <c r="P68" s="299"/>
      <c r="Q68" s="299"/>
      <c r="R68" s="299"/>
      <c r="S68" s="299"/>
      <c r="T68" s="299"/>
      <c r="U68" s="299"/>
      <c r="V68" s="498"/>
      <c r="W68" s="498"/>
      <c r="X68" s="498"/>
      <c r="Y68" s="498"/>
      <c r="Z68" s="498"/>
      <c r="AA68" s="498"/>
    </row>
    <row r="69" spans="1:27" ht="15" customHeight="1" thickTop="1" x14ac:dyDescent="0.2">
      <c r="A69" s="286"/>
      <c r="B69" s="951" t="s">
        <v>32</v>
      </c>
      <c r="C69" s="952"/>
      <c r="D69" s="953">
        <f>INTAKE!D23</f>
        <v>0</v>
      </c>
      <c r="E69" s="954"/>
      <c r="F69" s="955"/>
      <c r="G69" s="956"/>
      <c r="H69" s="917" t="e">
        <f>VLOOKUP(I67,[3]PLANS!$A$1:$H$107,2,FALSE)</f>
        <v>#N/A</v>
      </c>
      <c r="I69" s="958"/>
      <c r="J69" s="919" t="e">
        <f t="shared" ref="J69:J75" si="16">H69</f>
        <v>#N/A</v>
      </c>
      <c r="K69" s="920"/>
      <c r="L69" s="921" t="e">
        <f t="shared" ref="L69:L75" si="17">H69</f>
        <v>#N/A</v>
      </c>
      <c r="M69" s="918"/>
      <c r="N69" s="336"/>
      <c r="O69" s="299"/>
      <c r="P69" s="299"/>
      <c r="Q69" s="299"/>
      <c r="R69" s="299"/>
      <c r="S69" s="299"/>
      <c r="T69" s="299"/>
      <c r="U69" s="299"/>
      <c r="V69" s="498"/>
      <c r="W69" s="498"/>
      <c r="X69" s="498"/>
      <c r="Y69" s="498"/>
      <c r="Z69" s="498"/>
      <c r="AA69" s="498"/>
    </row>
    <row r="70" spans="1:27" ht="15" customHeight="1" x14ac:dyDescent="0.2">
      <c r="A70" s="286"/>
      <c r="B70" s="938" t="s">
        <v>36</v>
      </c>
      <c r="C70" s="939"/>
      <c r="D70" s="936">
        <f>INTAKE!N$23</f>
        <v>0</v>
      </c>
      <c r="E70" s="937"/>
      <c r="F70" s="955"/>
      <c r="G70" s="957"/>
      <c r="H70" s="917" t="e">
        <f>VLOOKUP(I67,[3]PLANS!$A$1:$H$107,3,FALSE)</f>
        <v>#N/A</v>
      </c>
      <c r="I70" s="918"/>
      <c r="J70" s="919" t="e">
        <f t="shared" si="16"/>
        <v>#N/A</v>
      </c>
      <c r="K70" s="920"/>
      <c r="L70" s="921" t="e">
        <f t="shared" si="17"/>
        <v>#N/A</v>
      </c>
      <c r="M70" s="918"/>
      <c r="N70" s="336"/>
      <c r="O70" s="299"/>
      <c r="P70" s="299"/>
      <c r="Q70" s="299"/>
      <c r="R70" s="299"/>
      <c r="S70" s="299"/>
      <c r="T70" s="299"/>
      <c r="U70" s="299"/>
      <c r="V70" s="498"/>
      <c r="W70" s="498"/>
      <c r="X70" s="498"/>
      <c r="Y70" s="498"/>
      <c r="Z70" s="498"/>
      <c r="AA70" s="498"/>
    </row>
    <row r="71" spans="1:27" ht="15" customHeight="1" x14ac:dyDescent="0.2">
      <c r="A71" s="286"/>
      <c r="B71" s="945" t="s">
        <v>37</v>
      </c>
      <c r="C71" s="946"/>
      <c r="D71" s="936">
        <f>INTAKE!O$23</f>
        <v>0</v>
      </c>
      <c r="E71" s="937"/>
      <c r="F71" s="955"/>
      <c r="G71" s="957"/>
      <c r="H71" s="917" t="e">
        <f>VLOOKUP(I67,[3]PLANS!$A$1:$H$107,4,FALSE)</f>
        <v>#N/A</v>
      </c>
      <c r="I71" s="918"/>
      <c r="J71" s="919" t="e">
        <f t="shared" si="16"/>
        <v>#N/A</v>
      </c>
      <c r="K71" s="920"/>
      <c r="L71" s="921" t="e">
        <f t="shared" si="17"/>
        <v>#N/A</v>
      </c>
      <c r="M71" s="918"/>
      <c r="N71" s="336"/>
      <c r="O71" s="299"/>
      <c r="P71" s="299"/>
      <c r="Q71" s="299"/>
      <c r="R71" s="299"/>
      <c r="S71" s="299"/>
      <c r="T71" s="299"/>
      <c r="U71" s="299"/>
      <c r="V71" s="498"/>
      <c r="W71" s="498"/>
      <c r="X71" s="498"/>
      <c r="Y71" s="498"/>
      <c r="Z71" s="498"/>
      <c r="AA71" s="498"/>
    </row>
    <row r="72" spans="1:27" ht="15" customHeight="1" x14ac:dyDescent="0.2">
      <c r="A72" s="286"/>
      <c r="B72" s="934" t="s">
        <v>38</v>
      </c>
      <c r="C72" s="935"/>
      <c r="D72" s="915">
        <f>INTAKE!P$23</f>
        <v>0</v>
      </c>
      <c r="E72" s="916"/>
      <c r="F72" s="955"/>
      <c r="G72" s="957"/>
      <c r="H72" s="917" t="e">
        <f>VLOOKUP(I67,[3]PLANS!$A$1:$H$107,5,FALSE)</f>
        <v>#N/A</v>
      </c>
      <c r="I72" s="918"/>
      <c r="J72" s="919" t="e">
        <f t="shared" si="16"/>
        <v>#N/A</v>
      </c>
      <c r="K72" s="920"/>
      <c r="L72" s="921" t="e">
        <f t="shared" si="17"/>
        <v>#N/A</v>
      </c>
      <c r="M72" s="918"/>
      <c r="N72" s="336"/>
      <c r="O72" s="299"/>
      <c r="P72" s="299"/>
      <c r="Q72" s="299"/>
      <c r="R72" s="299"/>
      <c r="S72" s="299"/>
      <c r="T72" s="299"/>
      <c r="U72" s="299"/>
      <c r="V72" s="498"/>
      <c r="W72" s="498"/>
      <c r="X72" s="498"/>
      <c r="Y72" s="498"/>
      <c r="Z72" s="498"/>
      <c r="AA72" s="498"/>
    </row>
    <row r="73" spans="1:27" ht="15" customHeight="1" x14ac:dyDescent="0.2">
      <c r="A73" s="286"/>
      <c r="B73" s="934" t="s">
        <v>39</v>
      </c>
      <c r="C73" s="935"/>
      <c r="D73" s="915">
        <f>INTAKE!Q$23</f>
        <v>0</v>
      </c>
      <c r="E73" s="916"/>
      <c r="F73" s="955"/>
      <c r="G73" s="957"/>
      <c r="H73" s="917" t="e">
        <f>VLOOKUP(I67,[3]PLANS!$A$1:$H$107,6,FALSE)</f>
        <v>#N/A</v>
      </c>
      <c r="I73" s="918"/>
      <c r="J73" s="919" t="e">
        <f t="shared" si="16"/>
        <v>#N/A</v>
      </c>
      <c r="K73" s="920"/>
      <c r="L73" s="921" t="e">
        <f t="shared" si="17"/>
        <v>#N/A</v>
      </c>
      <c r="M73" s="918"/>
      <c r="N73" s="336"/>
      <c r="O73" s="299"/>
      <c r="P73" s="299"/>
      <c r="Q73" s="299"/>
      <c r="R73" s="299"/>
      <c r="S73" s="299"/>
      <c r="T73" s="299"/>
      <c r="U73" s="299"/>
      <c r="V73" s="498"/>
      <c r="W73" s="498"/>
      <c r="X73" s="498"/>
      <c r="Y73" s="498"/>
      <c r="Z73" s="498"/>
      <c r="AA73" s="498"/>
    </row>
    <row r="74" spans="1:27" ht="15" customHeight="1" x14ac:dyDescent="0.2">
      <c r="A74" s="286"/>
      <c r="B74" s="934" t="s">
        <v>90</v>
      </c>
      <c r="C74" s="935"/>
      <c r="D74" s="936">
        <f>INTAKE!R$23</f>
        <v>0</v>
      </c>
      <c r="E74" s="937"/>
      <c r="F74" s="955"/>
      <c r="G74" s="957"/>
      <c r="H74" s="917" t="e">
        <f>VLOOKUP(I67,[3]PLANS!$A$1:$H$107,7,FALSE)</f>
        <v>#N/A</v>
      </c>
      <c r="I74" s="918"/>
      <c r="J74" s="919" t="e">
        <f t="shared" si="16"/>
        <v>#N/A</v>
      </c>
      <c r="K74" s="920"/>
      <c r="L74" s="921" t="e">
        <f t="shared" si="17"/>
        <v>#N/A</v>
      </c>
      <c r="M74" s="918"/>
      <c r="N74" s="336"/>
      <c r="O74" s="299"/>
      <c r="P74" s="299"/>
      <c r="Q74" s="299"/>
      <c r="R74" s="299"/>
      <c r="S74" s="299"/>
      <c r="T74" s="299"/>
      <c r="U74" s="299"/>
      <c r="V74" s="498"/>
      <c r="W74" s="498"/>
      <c r="X74" s="498"/>
      <c r="Y74" s="498"/>
      <c r="Z74" s="498"/>
      <c r="AA74" s="498"/>
    </row>
    <row r="75" spans="1:27" ht="15" customHeight="1" x14ac:dyDescent="0.2">
      <c r="A75" s="286"/>
      <c r="B75" s="938" t="s">
        <v>92</v>
      </c>
      <c r="C75" s="939"/>
      <c r="D75" s="936">
        <f>INTAKE!S$23</f>
        <v>0</v>
      </c>
      <c r="E75" s="937"/>
      <c r="F75" s="955"/>
      <c r="G75" s="957"/>
      <c r="H75" s="940" t="e">
        <f>VLOOKUP(I67,[3]PLANS!$A$1:$H$107,8,FALSE)</f>
        <v>#N/A</v>
      </c>
      <c r="I75" s="941"/>
      <c r="J75" s="942" t="e">
        <f t="shared" si="16"/>
        <v>#N/A</v>
      </c>
      <c r="K75" s="943"/>
      <c r="L75" s="944" t="e">
        <f t="shared" si="17"/>
        <v>#N/A</v>
      </c>
      <c r="M75" s="941"/>
      <c r="N75" s="336"/>
      <c r="O75" s="299"/>
      <c r="P75" s="299"/>
      <c r="Q75" s="299"/>
      <c r="R75" s="299"/>
      <c r="S75" s="299"/>
      <c r="T75" s="299"/>
      <c r="U75" s="299"/>
      <c r="V75" s="498"/>
      <c r="W75" s="498"/>
      <c r="X75" s="498"/>
      <c r="Y75" s="498"/>
      <c r="Z75" s="498"/>
      <c r="AA75" s="498"/>
    </row>
    <row r="76" spans="1:27" ht="15" customHeight="1" thickBot="1" x14ac:dyDescent="0.25">
      <c r="A76" s="286"/>
      <c r="B76" s="922" t="s">
        <v>93</v>
      </c>
      <c r="C76" s="923"/>
      <c r="D76" s="245" t="s">
        <v>29</v>
      </c>
      <c r="E76" s="246" t="s">
        <v>94</v>
      </c>
      <c r="F76" s="247" t="s">
        <v>29</v>
      </c>
      <c r="G76" s="248" t="s">
        <v>94</v>
      </c>
      <c r="H76" s="366" t="s">
        <v>29</v>
      </c>
      <c r="I76" s="249" t="s">
        <v>94</v>
      </c>
      <c r="J76" s="250" t="s">
        <v>29</v>
      </c>
      <c r="K76" s="251" t="s">
        <v>94</v>
      </c>
      <c r="L76" s="252" t="s">
        <v>29</v>
      </c>
      <c r="M76" s="249" t="s">
        <v>94</v>
      </c>
      <c r="N76" s="336"/>
      <c r="O76" s="299"/>
      <c r="P76" s="299"/>
      <c r="Q76" s="299"/>
      <c r="R76" s="299"/>
      <c r="S76" s="299"/>
      <c r="T76" s="299"/>
      <c r="U76" s="299"/>
      <c r="V76" s="498"/>
      <c r="W76" s="498"/>
      <c r="X76" s="498"/>
      <c r="Y76" s="498"/>
      <c r="Z76" s="498"/>
      <c r="AA76" s="498"/>
    </row>
    <row r="77" spans="1:27" ht="15" customHeight="1" thickBot="1" x14ac:dyDescent="0.25">
      <c r="A77" s="286"/>
      <c r="B77" s="699" t="s">
        <v>95</v>
      </c>
      <c r="C77" s="237">
        <f>INTAKE!I$24</f>
        <v>0</v>
      </c>
      <c r="D77" s="236">
        <f>INTAKE!I23</f>
        <v>0</v>
      </c>
      <c r="E77" s="234">
        <f>C77*D77</f>
        <v>0</v>
      </c>
      <c r="F77" s="233">
        <f>SUM(1+G68/1)*D77</f>
        <v>0</v>
      </c>
      <c r="G77" s="364">
        <f>C77*F77</f>
        <v>0</v>
      </c>
      <c r="H77" s="368">
        <v>0</v>
      </c>
      <c r="I77" s="365">
        <f>C77*H77</f>
        <v>0</v>
      </c>
      <c r="J77" s="230">
        <f>IF($U$20&lt;0%,0,SUM(H77)*(1-K67)*1)</f>
        <v>0</v>
      </c>
      <c r="K77" s="231">
        <f>IF(J77=0,0,C77*J77)</f>
        <v>0</v>
      </c>
      <c r="L77" s="244">
        <f>IF($Z$17=0,0,SUM(J77)*(1-M67)*1)</f>
        <v>0</v>
      </c>
      <c r="M77" s="242">
        <f>C77*L77</f>
        <v>0</v>
      </c>
      <c r="N77" s="336"/>
      <c r="O77" s="299"/>
      <c r="P77" s="299"/>
      <c r="Q77" s="299"/>
      <c r="R77" s="299"/>
      <c r="S77" s="299"/>
      <c r="T77" s="299"/>
      <c r="U77" s="299"/>
      <c r="V77" s="498"/>
      <c r="W77" s="498"/>
      <c r="X77" s="498"/>
      <c r="Y77" s="498"/>
      <c r="Z77" s="498"/>
      <c r="AA77" s="498"/>
    </row>
    <row r="78" spans="1:27" ht="15" customHeight="1" x14ac:dyDescent="0.2">
      <c r="A78" s="286"/>
      <c r="B78" s="699" t="s">
        <v>1914</v>
      </c>
      <c r="C78" s="237">
        <f>INTAKE!J$24</f>
        <v>0</v>
      </c>
      <c r="D78" s="236">
        <f>INTAKE!J23</f>
        <v>0</v>
      </c>
      <c r="E78" s="234">
        <f t="shared" ref="E78:E79" si="18">C78*D78</f>
        <v>0</v>
      </c>
      <c r="F78" s="233">
        <f>SUM(1+G68/1)*D78</f>
        <v>0</v>
      </c>
      <c r="G78" s="232">
        <f t="shared" ref="G78:G79" si="19">C78*F78</f>
        <v>0</v>
      </c>
      <c r="H78" s="367">
        <f>2.2*H77</f>
        <v>0</v>
      </c>
      <c r="I78" s="242">
        <f>C78*H78</f>
        <v>0</v>
      </c>
      <c r="J78" s="230">
        <f>IF($U$20&lt;0%,0,SUM(H78)*(1-K67)*1)</f>
        <v>0</v>
      </c>
      <c r="K78" s="231">
        <f t="shared" ref="K78:K79" si="20">IF(J78=0,0,C78*J78)</f>
        <v>0</v>
      </c>
      <c r="L78" s="244">
        <f>IF($Z$17=0,0,SUM(J78)*(1-M67)*1)</f>
        <v>0</v>
      </c>
      <c r="M78" s="242">
        <f>C78*L78</f>
        <v>0</v>
      </c>
      <c r="N78" s="336"/>
      <c r="O78" s="299"/>
      <c r="P78" s="299"/>
      <c r="Q78" s="299"/>
      <c r="R78" s="299"/>
      <c r="S78" s="299"/>
      <c r="T78" s="299"/>
      <c r="U78" s="299"/>
      <c r="V78" s="498"/>
      <c r="W78" s="498"/>
      <c r="X78" s="498"/>
      <c r="Y78" s="498"/>
      <c r="Z78" s="498"/>
      <c r="AA78" s="498"/>
    </row>
    <row r="79" spans="1:27" ht="15" customHeight="1" x14ac:dyDescent="0.2">
      <c r="A79" s="286"/>
      <c r="B79" s="699" t="s">
        <v>1915</v>
      </c>
      <c r="C79" s="237">
        <f>INTAKE!K$24</f>
        <v>0</v>
      </c>
      <c r="D79" s="236">
        <f>INTAKE!K23</f>
        <v>0</v>
      </c>
      <c r="E79" s="234">
        <f t="shared" si="18"/>
        <v>0</v>
      </c>
      <c r="F79" s="233">
        <f>SUM(1+G68/1)*D79</f>
        <v>0</v>
      </c>
      <c r="G79" s="232">
        <f t="shared" si="19"/>
        <v>0</v>
      </c>
      <c r="H79" s="243">
        <f>1.8*H77</f>
        <v>0</v>
      </c>
      <c r="I79" s="242">
        <f>C79*H79</f>
        <v>0</v>
      </c>
      <c r="J79" s="230">
        <f>IF($U$20&lt;0%,0,SUM(H79)*(1-K67)*1)</f>
        <v>0</v>
      </c>
      <c r="K79" s="231">
        <f t="shared" si="20"/>
        <v>0</v>
      </c>
      <c r="L79" s="244">
        <f>IF($Z$17=0,0,SUM(J79)*(1-M67)*1)</f>
        <v>0</v>
      </c>
      <c r="M79" s="242">
        <f>C79*L79</f>
        <v>0</v>
      </c>
      <c r="N79" s="336"/>
      <c r="O79" s="299"/>
      <c r="P79" s="299"/>
      <c r="Q79" s="299"/>
      <c r="R79" s="299"/>
      <c r="S79" s="299"/>
      <c r="T79" s="299"/>
      <c r="U79" s="299"/>
      <c r="V79" s="498"/>
      <c r="W79" s="498"/>
      <c r="X79" s="498"/>
      <c r="Y79" s="498"/>
      <c r="Z79" s="498"/>
      <c r="AA79" s="498"/>
    </row>
    <row r="80" spans="1:27" ht="15" customHeight="1" x14ac:dyDescent="0.2">
      <c r="A80" s="286"/>
      <c r="B80" s="699"/>
      <c r="C80" s="237">
        <f>INTAKE!L$24</f>
        <v>0</v>
      </c>
      <c r="D80" s="694"/>
      <c r="E80" s="695"/>
      <c r="F80" s="694"/>
      <c r="G80" s="695"/>
      <c r="H80" s="694"/>
      <c r="I80" s="695"/>
      <c r="J80" s="694"/>
      <c r="K80" s="695"/>
      <c r="L80" s="694"/>
      <c r="M80" s="695"/>
      <c r="N80" s="336"/>
      <c r="O80" s="299"/>
      <c r="P80" s="299"/>
      <c r="Q80" s="299"/>
      <c r="R80" s="299"/>
      <c r="S80" s="299"/>
      <c r="T80" s="299"/>
      <c r="U80" s="299"/>
      <c r="V80" s="498"/>
      <c r="W80" s="498"/>
      <c r="X80" s="498"/>
      <c r="Y80" s="498"/>
      <c r="Z80" s="498"/>
      <c r="AA80" s="498"/>
    </row>
    <row r="81" spans="1:27" ht="15" customHeight="1" x14ac:dyDescent="0.2">
      <c r="A81" s="286"/>
      <c r="B81" s="924"/>
      <c r="C81" s="925"/>
      <c r="D81" s="358" t="s">
        <v>1734</v>
      </c>
      <c r="E81" s="356">
        <f>SUM(E77:E80)</f>
        <v>0</v>
      </c>
      <c r="F81" s="362" t="s">
        <v>1734</v>
      </c>
      <c r="G81" s="360">
        <f>SUM(G77:G80)</f>
        <v>0</v>
      </c>
      <c r="H81" s="346" t="s">
        <v>1734</v>
      </c>
      <c r="I81" s="347">
        <f>SUM(I77:I80)</f>
        <v>0</v>
      </c>
      <c r="J81" s="350" t="s">
        <v>1734</v>
      </c>
      <c r="K81" s="351">
        <f>IF($M$6&lt;0%=0,0,SUM(K77:K80))</f>
        <v>0</v>
      </c>
      <c r="L81" s="352" t="s">
        <v>1734</v>
      </c>
      <c r="M81" s="347">
        <f>SUM(M77:M80)</f>
        <v>0</v>
      </c>
      <c r="N81" s="336"/>
      <c r="O81" s="299"/>
      <c r="P81" s="299"/>
      <c r="Q81" s="299"/>
      <c r="R81" s="299"/>
      <c r="S81" s="299"/>
      <c r="T81" s="299"/>
      <c r="U81" s="299"/>
      <c r="V81" s="498"/>
      <c r="W81" s="498"/>
      <c r="X81" s="498"/>
      <c r="Y81" s="498"/>
      <c r="Z81" s="498"/>
      <c r="AA81" s="498"/>
    </row>
    <row r="82" spans="1:27" ht="15" customHeight="1" x14ac:dyDescent="0.2">
      <c r="A82" s="286"/>
      <c r="B82" s="926"/>
      <c r="C82" s="927"/>
      <c r="D82" s="358" t="s">
        <v>1767</v>
      </c>
      <c r="E82" s="359">
        <f>E81*12</f>
        <v>0</v>
      </c>
      <c r="F82" s="362" t="s">
        <v>1767</v>
      </c>
      <c r="G82" s="363">
        <f>G81*12</f>
        <v>0</v>
      </c>
      <c r="H82" s="348" t="s">
        <v>1767</v>
      </c>
      <c r="I82" s="349">
        <f>I81*12</f>
        <v>0</v>
      </c>
      <c r="J82" s="353" t="s">
        <v>1767</v>
      </c>
      <c r="K82" s="354">
        <f>K81*12</f>
        <v>0</v>
      </c>
      <c r="L82" s="355" t="s">
        <v>1767</v>
      </c>
      <c r="M82" s="349">
        <f>M81*12</f>
        <v>0</v>
      </c>
      <c r="N82" s="336"/>
      <c r="O82" s="299"/>
      <c r="P82" s="299"/>
      <c r="Q82" s="299"/>
      <c r="R82" s="299"/>
      <c r="S82" s="299"/>
      <c r="T82" s="299"/>
      <c r="U82" s="299"/>
      <c r="V82" s="498"/>
      <c r="W82" s="498"/>
      <c r="X82" s="498"/>
      <c r="Y82" s="498"/>
      <c r="Z82" s="498"/>
      <c r="AA82" s="498"/>
    </row>
    <row r="83" spans="1:27" ht="15" customHeight="1" thickBot="1" x14ac:dyDescent="0.25">
      <c r="A83" s="286"/>
      <c r="B83" s="928"/>
      <c r="C83" s="929"/>
      <c r="D83" s="930"/>
      <c r="E83" s="931"/>
      <c r="F83" s="932"/>
      <c r="G83" s="933"/>
      <c r="H83" s="255" t="s">
        <v>1731</v>
      </c>
      <c r="I83" s="256" t="str">
        <f>IF(I81&lt;1,"",(E82-I82)/E82*-1)</f>
        <v/>
      </c>
      <c r="J83" s="257" t="s">
        <v>1731</v>
      </c>
      <c r="K83" s="258">
        <f>IF(K82=0,0,(E82-K82)/E82*-1)</f>
        <v>0</v>
      </c>
      <c r="L83" s="259" t="s">
        <v>1731</v>
      </c>
      <c r="M83" s="256">
        <f>IF(I81=0,0,(E82-M82)/E82*-1)</f>
        <v>0</v>
      </c>
      <c r="N83" s="336"/>
      <c r="O83" s="299"/>
      <c r="P83" s="299"/>
      <c r="Q83" s="299"/>
      <c r="R83" s="299"/>
      <c r="S83" s="299"/>
      <c r="T83" s="299"/>
      <c r="U83" s="299"/>
      <c r="V83" s="498"/>
      <c r="W83" s="498"/>
      <c r="X83" s="498"/>
      <c r="Y83" s="498"/>
      <c r="Z83" s="498"/>
      <c r="AA83" s="498"/>
    </row>
    <row r="84" spans="1:27" ht="15" customHeight="1" thickTop="1" thickBot="1" x14ac:dyDescent="0.25">
      <c r="A84" s="286"/>
      <c r="B84" s="974" t="s">
        <v>117</v>
      </c>
      <c r="C84" s="975"/>
      <c r="D84" s="980" t="s">
        <v>68</v>
      </c>
      <c r="E84" s="981"/>
      <c r="F84" s="981"/>
      <c r="G84" s="982"/>
      <c r="H84" s="959" t="s">
        <v>69</v>
      </c>
      <c r="I84" s="960"/>
      <c r="J84" s="960"/>
      <c r="K84" s="960"/>
      <c r="L84" s="960"/>
      <c r="M84" s="961"/>
      <c r="N84" s="336"/>
      <c r="O84" s="299"/>
      <c r="P84" s="299"/>
      <c r="Q84" s="299"/>
      <c r="R84" s="299"/>
      <c r="S84" s="299"/>
      <c r="T84" s="299"/>
      <c r="U84" s="299"/>
      <c r="V84" s="498"/>
      <c r="W84" s="498"/>
      <c r="X84" s="498"/>
      <c r="Y84" s="498"/>
      <c r="Z84" s="498"/>
      <c r="AA84" s="498"/>
    </row>
    <row r="85" spans="1:27" ht="15" customHeight="1" thickTop="1" thickBot="1" x14ac:dyDescent="0.25">
      <c r="A85" s="286"/>
      <c r="B85" s="976"/>
      <c r="C85" s="977"/>
      <c r="D85" s="962" t="s">
        <v>74</v>
      </c>
      <c r="E85" s="963"/>
      <c r="F85" s="966" t="s">
        <v>75</v>
      </c>
      <c r="G85" s="967"/>
      <c r="H85" s="970" t="s">
        <v>76</v>
      </c>
      <c r="I85" s="971"/>
      <c r="J85" s="972" t="s">
        <v>1735</v>
      </c>
      <c r="K85" s="973"/>
      <c r="L85" s="970" t="s">
        <v>1736</v>
      </c>
      <c r="M85" s="971"/>
      <c r="N85" s="336"/>
      <c r="O85" s="299"/>
      <c r="P85" s="299"/>
      <c r="Q85" s="299"/>
      <c r="R85" s="299"/>
      <c r="S85" s="299"/>
      <c r="T85" s="299"/>
      <c r="U85" s="299"/>
      <c r="V85" s="498"/>
      <c r="W85" s="498"/>
      <c r="X85" s="498"/>
      <c r="Y85" s="498"/>
      <c r="Z85" s="498"/>
      <c r="AA85" s="498"/>
    </row>
    <row r="86" spans="1:27" ht="15" customHeight="1" thickTop="1" thickBot="1" x14ac:dyDescent="0.25">
      <c r="A86" s="286"/>
      <c r="B86" s="976"/>
      <c r="C86" s="977"/>
      <c r="D86" s="964"/>
      <c r="E86" s="965"/>
      <c r="F86" s="968"/>
      <c r="G86" s="969"/>
      <c r="H86" s="343" t="s">
        <v>1732</v>
      </c>
      <c r="I86" s="341"/>
      <c r="J86" s="345" t="s">
        <v>1733</v>
      </c>
      <c r="K86" s="577">
        <f>IF(E87=0,0,VLOOKUP(E87,RBRATES,2,0))</f>
        <v>0</v>
      </c>
      <c r="L86" s="343" t="s">
        <v>80</v>
      </c>
      <c r="M86" s="510">
        <f>$Z$18</f>
        <v>0</v>
      </c>
      <c r="N86" s="336"/>
      <c r="O86" s="299"/>
      <c r="P86" s="299"/>
      <c r="Q86" s="299"/>
      <c r="R86" s="299"/>
      <c r="S86" s="299"/>
      <c r="T86" s="299"/>
      <c r="U86" s="299"/>
      <c r="V86" s="498"/>
      <c r="W86" s="498"/>
      <c r="X86" s="498"/>
      <c r="Y86" s="498"/>
      <c r="Z86" s="498"/>
      <c r="AA86" s="498"/>
    </row>
    <row r="87" spans="1:27" ht="15" customHeight="1" thickTop="1" thickBot="1" x14ac:dyDescent="0.25">
      <c r="A87" s="286"/>
      <c r="B87" s="978"/>
      <c r="C87" s="979"/>
      <c r="D87" s="565" t="s">
        <v>1850</v>
      </c>
      <c r="E87" s="562">
        <f>INTAKE!C25</f>
        <v>0</v>
      </c>
      <c r="F87" s="342" t="s">
        <v>78</v>
      </c>
      <c r="G87" s="564" t="b">
        <f>IF(E87="HMO",$F$5,IF(E87="PPO",$H$5,IF(E87="CDHP",$J$5)))</f>
        <v>0</v>
      </c>
      <c r="H87" s="344" t="s">
        <v>82</v>
      </c>
      <c r="I87" s="341"/>
      <c r="J87" s="947"/>
      <c r="K87" s="948"/>
      <c r="L87" s="949"/>
      <c r="M87" s="950"/>
      <c r="N87" s="336"/>
      <c r="O87" s="299"/>
      <c r="P87" s="299"/>
      <c r="Q87" s="299"/>
      <c r="R87" s="299"/>
      <c r="S87" s="299"/>
      <c r="T87" s="299"/>
      <c r="U87" s="299"/>
      <c r="V87" s="498"/>
      <c r="W87" s="498"/>
      <c r="X87" s="498"/>
      <c r="Y87" s="498"/>
      <c r="Z87" s="498"/>
      <c r="AA87" s="498"/>
    </row>
    <row r="88" spans="1:27" ht="15" customHeight="1" thickTop="1" x14ac:dyDescent="0.2">
      <c r="A88" s="286"/>
      <c r="B88" s="951" t="s">
        <v>32</v>
      </c>
      <c r="C88" s="952"/>
      <c r="D88" s="953">
        <f>INTAKE!D$25</f>
        <v>0</v>
      </c>
      <c r="E88" s="954"/>
      <c r="F88" s="955"/>
      <c r="G88" s="956"/>
      <c r="H88" s="917" t="e">
        <f>VLOOKUP(I86,[3]PLANS!$A$1:$H$107,2,FALSE)</f>
        <v>#N/A</v>
      </c>
      <c r="I88" s="958"/>
      <c r="J88" s="919" t="e">
        <f t="shared" ref="J88:J94" si="21">H88</f>
        <v>#N/A</v>
      </c>
      <c r="K88" s="920"/>
      <c r="L88" s="921" t="e">
        <f t="shared" ref="L88:L94" si="22">H88</f>
        <v>#N/A</v>
      </c>
      <c r="M88" s="918"/>
      <c r="N88" s="336"/>
      <c r="O88" s="299"/>
      <c r="P88" s="299"/>
      <c r="Q88" s="299"/>
      <c r="R88" s="299"/>
      <c r="S88" s="299"/>
      <c r="T88" s="299"/>
      <c r="U88" s="299"/>
      <c r="V88" s="498"/>
      <c r="W88" s="498"/>
      <c r="X88" s="498"/>
      <c r="Y88" s="498"/>
      <c r="Z88" s="498"/>
      <c r="AA88" s="498"/>
    </row>
    <row r="89" spans="1:27" ht="15" customHeight="1" x14ac:dyDescent="0.2">
      <c r="A89" s="286"/>
      <c r="B89" s="938" t="s">
        <v>36</v>
      </c>
      <c r="C89" s="939"/>
      <c r="D89" s="936">
        <f>INTAKE!N$25</f>
        <v>0</v>
      </c>
      <c r="E89" s="937"/>
      <c r="F89" s="955"/>
      <c r="G89" s="957"/>
      <c r="H89" s="917" t="e">
        <f>VLOOKUP(I86,[3]PLANS!$A$1:$H$107,3,FALSE)</f>
        <v>#N/A</v>
      </c>
      <c r="I89" s="918"/>
      <c r="J89" s="919" t="e">
        <f t="shared" si="21"/>
        <v>#N/A</v>
      </c>
      <c r="K89" s="920"/>
      <c r="L89" s="921" t="e">
        <f t="shared" si="22"/>
        <v>#N/A</v>
      </c>
      <c r="M89" s="918"/>
      <c r="N89" s="336"/>
      <c r="O89" s="299"/>
      <c r="P89" s="299"/>
      <c r="Q89" s="299"/>
      <c r="R89" s="299"/>
      <c r="S89" s="299"/>
      <c r="T89" s="299"/>
      <c r="U89" s="299"/>
      <c r="V89" s="498"/>
      <c r="W89" s="498"/>
      <c r="X89" s="498"/>
      <c r="Y89" s="498"/>
      <c r="Z89" s="498"/>
      <c r="AA89" s="498"/>
    </row>
    <row r="90" spans="1:27" ht="15" customHeight="1" x14ac:dyDescent="0.2">
      <c r="A90" s="286"/>
      <c r="B90" s="945" t="s">
        <v>37</v>
      </c>
      <c r="C90" s="946"/>
      <c r="D90" s="936">
        <f>INTAKE!O$25</f>
        <v>0</v>
      </c>
      <c r="E90" s="937"/>
      <c r="F90" s="955"/>
      <c r="G90" s="957"/>
      <c r="H90" s="917" t="e">
        <f>VLOOKUP(I86,[3]PLANS!$A$1:$H$107,4,FALSE)</f>
        <v>#N/A</v>
      </c>
      <c r="I90" s="918"/>
      <c r="J90" s="919" t="e">
        <f t="shared" si="21"/>
        <v>#N/A</v>
      </c>
      <c r="K90" s="920"/>
      <c r="L90" s="921" t="e">
        <f t="shared" si="22"/>
        <v>#N/A</v>
      </c>
      <c r="M90" s="918"/>
      <c r="N90" s="336"/>
      <c r="O90" s="299"/>
      <c r="P90" s="299"/>
      <c r="Q90" s="299"/>
      <c r="R90" s="299"/>
      <c r="S90" s="299"/>
      <c r="T90" s="299"/>
      <c r="U90" s="299"/>
      <c r="V90" s="498"/>
      <c r="W90" s="498"/>
      <c r="X90" s="498"/>
      <c r="Y90" s="498"/>
      <c r="Z90" s="498"/>
      <c r="AA90" s="498"/>
    </row>
    <row r="91" spans="1:27" ht="15" customHeight="1" x14ac:dyDescent="0.2">
      <c r="A91" s="286"/>
      <c r="B91" s="934" t="s">
        <v>38</v>
      </c>
      <c r="C91" s="935"/>
      <c r="D91" s="915">
        <f>INTAKE!P$25</f>
        <v>0</v>
      </c>
      <c r="E91" s="916"/>
      <c r="F91" s="955"/>
      <c r="G91" s="957"/>
      <c r="H91" s="917" t="e">
        <f>VLOOKUP(I86,[3]PLANS!$A$1:$H$107,5,FALSE)</f>
        <v>#N/A</v>
      </c>
      <c r="I91" s="918"/>
      <c r="J91" s="919" t="e">
        <f t="shared" si="21"/>
        <v>#N/A</v>
      </c>
      <c r="K91" s="920"/>
      <c r="L91" s="921" t="e">
        <f t="shared" si="22"/>
        <v>#N/A</v>
      </c>
      <c r="M91" s="918"/>
      <c r="N91" s="336"/>
      <c r="O91" s="299"/>
      <c r="P91" s="299"/>
      <c r="Q91" s="299"/>
      <c r="R91" s="299"/>
      <c r="S91" s="299"/>
      <c r="T91" s="299"/>
      <c r="U91" s="299"/>
      <c r="V91" s="498"/>
      <c r="W91" s="498"/>
      <c r="X91" s="498"/>
      <c r="Y91" s="498"/>
      <c r="Z91" s="498"/>
      <c r="AA91" s="498"/>
    </row>
    <row r="92" spans="1:27" ht="15" customHeight="1" x14ac:dyDescent="0.2">
      <c r="A92" s="286"/>
      <c r="B92" s="934" t="s">
        <v>39</v>
      </c>
      <c r="C92" s="935"/>
      <c r="D92" s="915">
        <f>INTAKE!Q$25</f>
        <v>0</v>
      </c>
      <c r="E92" s="916"/>
      <c r="F92" s="955"/>
      <c r="G92" s="957"/>
      <c r="H92" s="917" t="e">
        <f>VLOOKUP(I86,[3]PLANS!$A$1:$H$107,6,FALSE)</f>
        <v>#N/A</v>
      </c>
      <c r="I92" s="918"/>
      <c r="J92" s="919" t="e">
        <f t="shared" si="21"/>
        <v>#N/A</v>
      </c>
      <c r="K92" s="920"/>
      <c r="L92" s="921" t="e">
        <f t="shared" si="22"/>
        <v>#N/A</v>
      </c>
      <c r="M92" s="918"/>
      <c r="N92" s="336"/>
      <c r="O92" s="299"/>
      <c r="P92" s="299"/>
      <c r="Q92" s="299"/>
      <c r="R92" s="299"/>
      <c r="S92" s="299"/>
      <c r="T92" s="299"/>
      <c r="U92" s="299"/>
      <c r="V92" s="498"/>
      <c r="W92" s="498"/>
      <c r="X92" s="498"/>
      <c r="Y92" s="498"/>
      <c r="Z92" s="498"/>
      <c r="AA92" s="498"/>
    </row>
    <row r="93" spans="1:27" ht="15" customHeight="1" x14ac:dyDescent="0.2">
      <c r="A93" s="286"/>
      <c r="B93" s="934" t="s">
        <v>90</v>
      </c>
      <c r="C93" s="935"/>
      <c r="D93" s="936">
        <f>INTAKE!R$25</f>
        <v>0</v>
      </c>
      <c r="E93" s="937"/>
      <c r="F93" s="955"/>
      <c r="G93" s="957"/>
      <c r="H93" s="917" t="e">
        <f>VLOOKUP(I86,[3]PLANS!$A$1:$H$107,7,FALSE)</f>
        <v>#N/A</v>
      </c>
      <c r="I93" s="918"/>
      <c r="J93" s="919" t="e">
        <f t="shared" si="21"/>
        <v>#N/A</v>
      </c>
      <c r="K93" s="920"/>
      <c r="L93" s="921" t="e">
        <f t="shared" si="22"/>
        <v>#N/A</v>
      </c>
      <c r="M93" s="918"/>
      <c r="N93" s="336"/>
      <c r="O93" s="299"/>
      <c r="P93" s="299"/>
      <c r="Q93" s="299"/>
      <c r="R93" s="299"/>
      <c r="S93" s="299"/>
      <c r="T93" s="299"/>
      <c r="U93" s="299"/>
      <c r="V93" s="498"/>
      <c r="W93" s="498"/>
      <c r="X93" s="498"/>
      <c r="Y93" s="498"/>
      <c r="Z93" s="498"/>
      <c r="AA93" s="498"/>
    </row>
    <row r="94" spans="1:27" ht="15" customHeight="1" x14ac:dyDescent="0.2">
      <c r="A94" s="286"/>
      <c r="B94" s="938" t="s">
        <v>92</v>
      </c>
      <c r="C94" s="939"/>
      <c r="D94" s="936">
        <f>INTAKE!S$25</f>
        <v>0</v>
      </c>
      <c r="E94" s="937"/>
      <c r="F94" s="955"/>
      <c r="G94" s="957"/>
      <c r="H94" s="940" t="e">
        <f>VLOOKUP(I86,[3]PLANS!$A$1:$H$107,8,FALSE)</f>
        <v>#N/A</v>
      </c>
      <c r="I94" s="941"/>
      <c r="J94" s="942" t="e">
        <f t="shared" si="21"/>
        <v>#N/A</v>
      </c>
      <c r="K94" s="943"/>
      <c r="L94" s="944" t="e">
        <f t="shared" si="22"/>
        <v>#N/A</v>
      </c>
      <c r="M94" s="941"/>
      <c r="N94" s="336"/>
      <c r="O94" s="299"/>
      <c r="P94" s="299"/>
      <c r="Q94" s="299"/>
      <c r="R94" s="299"/>
      <c r="S94" s="299"/>
      <c r="T94" s="299"/>
      <c r="U94" s="299"/>
      <c r="V94" s="498"/>
      <c r="W94" s="498"/>
      <c r="X94" s="498"/>
      <c r="Y94" s="498"/>
      <c r="Z94" s="498"/>
      <c r="AA94" s="498"/>
    </row>
    <row r="95" spans="1:27" ht="15" customHeight="1" thickBot="1" x14ac:dyDescent="0.25">
      <c r="A95" s="286"/>
      <c r="B95" s="922" t="s">
        <v>93</v>
      </c>
      <c r="C95" s="923"/>
      <c r="D95" s="245" t="s">
        <v>29</v>
      </c>
      <c r="E95" s="246" t="s">
        <v>94</v>
      </c>
      <c r="F95" s="247" t="s">
        <v>29</v>
      </c>
      <c r="G95" s="248" t="s">
        <v>94</v>
      </c>
      <c r="H95" s="366" t="s">
        <v>29</v>
      </c>
      <c r="I95" s="249" t="s">
        <v>94</v>
      </c>
      <c r="J95" s="250" t="s">
        <v>29</v>
      </c>
      <c r="K95" s="251" t="s">
        <v>94</v>
      </c>
      <c r="L95" s="252" t="s">
        <v>29</v>
      </c>
      <c r="M95" s="249" t="s">
        <v>94</v>
      </c>
      <c r="N95" s="336"/>
      <c r="O95" s="299"/>
      <c r="P95" s="299"/>
      <c r="Q95" s="299"/>
      <c r="R95" s="299"/>
      <c r="S95" s="299"/>
      <c r="T95" s="299"/>
      <c r="U95" s="299"/>
      <c r="V95" s="498"/>
      <c r="W95" s="498"/>
      <c r="X95" s="498"/>
      <c r="Y95" s="498"/>
      <c r="Z95" s="498"/>
      <c r="AA95" s="498"/>
    </row>
    <row r="96" spans="1:27" ht="15" customHeight="1" thickBot="1" x14ac:dyDescent="0.25">
      <c r="A96" s="286"/>
      <c r="B96" s="699" t="s">
        <v>95</v>
      </c>
      <c r="C96" s="237">
        <f>INTAKE!I$26</f>
        <v>0</v>
      </c>
      <c r="D96" s="236">
        <f>INTAKE!I25</f>
        <v>0</v>
      </c>
      <c r="E96" s="234">
        <f>C96*D96</f>
        <v>0</v>
      </c>
      <c r="F96" s="233">
        <f>SUM(1+G87/1)*D96</f>
        <v>0</v>
      </c>
      <c r="G96" s="364">
        <f>C96*F96</f>
        <v>0</v>
      </c>
      <c r="H96" s="368">
        <v>0</v>
      </c>
      <c r="I96" s="365">
        <f>C96*H96</f>
        <v>0</v>
      </c>
      <c r="J96" s="230">
        <f>IF($U$20&lt;0%,0,SUM(H96)*(1-K86)*1)</f>
        <v>0</v>
      </c>
      <c r="K96" s="231">
        <f>IF(J96=0,0,C96*J96)</f>
        <v>0</v>
      </c>
      <c r="L96" s="244">
        <f>IF($Z$17=0,0,SUM(J96)*(1-M86)*1)</f>
        <v>0</v>
      </c>
      <c r="M96" s="242">
        <f>C96*L96</f>
        <v>0</v>
      </c>
      <c r="N96" s="336"/>
      <c r="O96" s="299"/>
      <c r="P96" s="299"/>
      <c r="Q96" s="299"/>
      <c r="R96" s="299"/>
      <c r="S96" s="299"/>
      <c r="T96" s="299"/>
      <c r="U96" s="299"/>
      <c r="V96" s="498"/>
      <c r="W96" s="498"/>
      <c r="X96" s="498"/>
      <c r="Y96" s="498"/>
      <c r="Z96" s="498"/>
      <c r="AA96" s="498"/>
    </row>
    <row r="97" spans="1:27" ht="15" customHeight="1" x14ac:dyDescent="0.2">
      <c r="A97" s="286"/>
      <c r="B97" s="699" t="s">
        <v>1914</v>
      </c>
      <c r="C97" s="237">
        <f>INTAKE!J$26</f>
        <v>0</v>
      </c>
      <c r="D97" s="236">
        <f>INTAKE!J25</f>
        <v>0</v>
      </c>
      <c r="E97" s="234">
        <f t="shared" ref="E97:E98" si="23">C97*D97</f>
        <v>0</v>
      </c>
      <c r="F97" s="233">
        <f>SUM(1+G87/1)*D97</f>
        <v>0</v>
      </c>
      <c r="G97" s="232">
        <f t="shared" ref="G97:G98" si="24">C97*F97</f>
        <v>0</v>
      </c>
      <c r="H97" s="367">
        <f>2.2*H96</f>
        <v>0</v>
      </c>
      <c r="I97" s="242">
        <f>C97*H97</f>
        <v>0</v>
      </c>
      <c r="J97" s="230">
        <f>IF($U$20&lt;0%,0,SUM(H97)*(1-K86)*1)</f>
        <v>0</v>
      </c>
      <c r="K97" s="231">
        <f t="shared" ref="K97:K98" si="25">IF(J97=0,0,C97*J97)</f>
        <v>0</v>
      </c>
      <c r="L97" s="244">
        <f>IF($Z$17=0,0,SUM(J97)*(1-M86)*1)</f>
        <v>0</v>
      </c>
      <c r="M97" s="242">
        <f>C97*L97</f>
        <v>0</v>
      </c>
      <c r="N97" s="336"/>
      <c r="O97" s="299"/>
      <c r="P97" s="299"/>
      <c r="Q97" s="299"/>
      <c r="R97" s="299"/>
      <c r="S97" s="299"/>
      <c r="T97" s="299"/>
      <c r="U97" s="299"/>
      <c r="V97" s="498"/>
      <c r="W97" s="498"/>
      <c r="X97" s="498"/>
      <c r="Y97" s="498"/>
      <c r="Z97" s="498"/>
      <c r="AA97" s="498"/>
    </row>
    <row r="98" spans="1:27" ht="15" customHeight="1" x14ac:dyDescent="0.2">
      <c r="A98" s="286"/>
      <c r="B98" s="699" t="s">
        <v>1915</v>
      </c>
      <c r="C98" s="237">
        <f>INTAKE!K$26</f>
        <v>0</v>
      </c>
      <c r="D98" s="236">
        <f>INTAKE!K25</f>
        <v>0</v>
      </c>
      <c r="E98" s="234">
        <f t="shared" si="23"/>
        <v>0</v>
      </c>
      <c r="F98" s="233">
        <f>SUM(1+G87/1)*D98</f>
        <v>0</v>
      </c>
      <c r="G98" s="232">
        <f t="shared" si="24"/>
        <v>0</v>
      </c>
      <c r="H98" s="243">
        <f>1.8*H96</f>
        <v>0</v>
      </c>
      <c r="I98" s="242">
        <f>C98*H98</f>
        <v>0</v>
      </c>
      <c r="J98" s="230">
        <f>IF($U$20&lt;0%,0,SUM(H98)*(1-K86)*1)</f>
        <v>0</v>
      </c>
      <c r="K98" s="231">
        <f t="shared" si="25"/>
        <v>0</v>
      </c>
      <c r="L98" s="244">
        <f>IF($Z$17=0,0,SUM(J98)*(1-M86)*1)</f>
        <v>0</v>
      </c>
      <c r="M98" s="242">
        <f>C98*L98</f>
        <v>0</v>
      </c>
      <c r="N98" s="336"/>
      <c r="O98" s="299"/>
      <c r="P98" s="299"/>
      <c r="Q98" s="299"/>
      <c r="R98" s="299"/>
      <c r="S98" s="299"/>
      <c r="T98" s="299"/>
      <c r="U98" s="299"/>
      <c r="V98" s="498"/>
      <c r="W98" s="498"/>
      <c r="X98" s="498"/>
      <c r="Y98" s="498"/>
      <c r="Z98" s="498"/>
      <c r="AA98" s="498"/>
    </row>
    <row r="99" spans="1:27" ht="15" customHeight="1" x14ac:dyDescent="0.2">
      <c r="A99" s="286"/>
      <c r="B99" s="699"/>
      <c r="C99" s="237">
        <f>INTAKE!L$26</f>
        <v>0</v>
      </c>
      <c r="D99" s="694"/>
      <c r="E99" s="695"/>
      <c r="F99" s="694"/>
      <c r="G99" s="695"/>
      <c r="H99" s="694"/>
      <c r="I99" s="695"/>
      <c r="J99" s="694"/>
      <c r="K99" s="695"/>
      <c r="L99" s="694"/>
      <c r="M99" s="695"/>
      <c r="N99" s="336"/>
      <c r="O99" s="299"/>
      <c r="P99" s="299"/>
      <c r="Q99" s="299"/>
      <c r="R99" s="299"/>
      <c r="S99" s="299"/>
      <c r="T99" s="299"/>
      <c r="U99" s="299"/>
      <c r="V99" s="498"/>
      <c r="W99" s="498"/>
      <c r="X99" s="498"/>
      <c r="Y99" s="498"/>
      <c r="Z99" s="498"/>
      <c r="AA99" s="498"/>
    </row>
    <row r="100" spans="1:27" ht="15" customHeight="1" x14ac:dyDescent="0.2">
      <c r="A100" s="286"/>
      <c r="B100" s="924"/>
      <c r="C100" s="925"/>
      <c r="D100" s="358" t="s">
        <v>1734</v>
      </c>
      <c r="E100" s="356">
        <f>SUM(E96:E99)</f>
        <v>0</v>
      </c>
      <c r="F100" s="362" t="s">
        <v>1734</v>
      </c>
      <c r="G100" s="360">
        <f>SUM(G96:G99)</f>
        <v>0</v>
      </c>
      <c r="H100" s="346" t="s">
        <v>1734</v>
      </c>
      <c r="I100" s="347">
        <f>SUM(I96:I99)</f>
        <v>0</v>
      </c>
      <c r="J100" s="350" t="s">
        <v>1734</v>
      </c>
      <c r="K100" s="351">
        <f>IF($M$6&lt;0%=0,0,SUM(K96:K99))</f>
        <v>0</v>
      </c>
      <c r="L100" s="352" t="s">
        <v>1734</v>
      </c>
      <c r="M100" s="347">
        <f>SUM(M96:M99)</f>
        <v>0</v>
      </c>
      <c r="N100" s="336"/>
      <c r="O100" s="299"/>
      <c r="P100" s="299"/>
      <c r="Q100" s="299"/>
      <c r="R100" s="299"/>
      <c r="S100" s="299"/>
      <c r="T100" s="299"/>
      <c r="U100" s="299"/>
      <c r="V100" s="498"/>
      <c r="W100" s="498"/>
      <c r="X100" s="498"/>
      <c r="Y100" s="498"/>
      <c r="Z100" s="498"/>
      <c r="AA100" s="498"/>
    </row>
    <row r="101" spans="1:27" ht="15" customHeight="1" x14ac:dyDescent="0.2">
      <c r="A101" s="286"/>
      <c r="B101" s="926"/>
      <c r="C101" s="927"/>
      <c r="D101" s="358" t="s">
        <v>1767</v>
      </c>
      <c r="E101" s="359">
        <f>E100*12</f>
        <v>0</v>
      </c>
      <c r="F101" s="362" t="s">
        <v>1767</v>
      </c>
      <c r="G101" s="363">
        <f>G100*12</f>
        <v>0</v>
      </c>
      <c r="H101" s="348" t="s">
        <v>1767</v>
      </c>
      <c r="I101" s="349">
        <f>I100*12</f>
        <v>0</v>
      </c>
      <c r="J101" s="353" t="s">
        <v>1767</v>
      </c>
      <c r="K101" s="354">
        <f>K100*12</f>
        <v>0</v>
      </c>
      <c r="L101" s="355" t="s">
        <v>1767</v>
      </c>
      <c r="M101" s="349">
        <f>M100*12</f>
        <v>0</v>
      </c>
      <c r="N101" s="336"/>
      <c r="O101" s="299"/>
      <c r="P101" s="299"/>
      <c r="Q101" s="299"/>
      <c r="R101" s="299"/>
      <c r="S101" s="299"/>
      <c r="T101" s="299"/>
      <c r="U101" s="299"/>
      <c r="V101" s="498"/>
      <c r="W101" s="498"/>
      <c r="X101" s="498"/>
      <c r="Y101" s="498"/>
      <c r="Z101" s="498"/>
      <c r="AA101" s="498"/>
    </row>
    <row r="102" spans="1:27" ht="15" customHeight="1" thickBot="1" x14ac:dyDescent="0.25">
      <c r="A102" s="286"/>
      <c r="B102" s="928"/>
      <c r="C102" s="929"/>
      <c r="D102" s="930"/>
      <c r="E102" s="931"/>
      <c r="F102" s="932"/>
      <c r="G102" s="933"/>
      <c r="H102" s="255" t="s">
        <v>1731</v>
      </c>
      <c r="I102" s="256" t="str">
        <f>IF(I100&lt;1,"",(E101-I101)/E101*-1)</f>
        <v/>
      </c>
      <c r="J102" s="257" t="s">
        <v>1731</v>
      </c>
      <c r="K102" s="258">
        <f>IF(K101=0,0,(E101-K101)/E101*-1)</f>
        <v>0</v>
      </c>
      <c r="L102" s="259" t="s">
        <v>1731</v>
      </c>
      <c r="M102" s="256">
        <f>IF(I100=0,0,(E101-M101)/E101*-1)</f>
        <v>0</v>
      </c>
      <c r="N102" s="336"/>
      <c r="O102" s="299"/>
      <c r="P102" s="299"/>
      <c r="Q102" s="299"/>
      <c r="R102" s="299"/>
      <c r="S102" s="299"/>
      <c r="T102" s="299"/>
      <c r="U102" s="299"/>
      <c r="V102" s="498"/>
      <c r="W102" s="498"/>
      <c r="X102" s="498"/>
      <c r="Y102" s="498"/>
      <c r="Z102" s="498"/>
      <c r="AA102" s="498"/>
    </row>
    <row r="103" spans="1:27" ht="15" customHeight="1" thickTop="1" thickBot="1" x14ac:dyDescent="0.25">
      <c r="A103" s="286"/>
      <c r="B103" s="974" t="s">
        <v>118</v>
      </c>
      <c r="C103" s="975"/>
      <c r="D103" s="980" t="s">
        <v>68</v>
      </c>
      <c r="E103" s="981"/>
      <c r="F103" s="981"/>
      <c r="G103" s="982"/>
      <c r="H103" s="959" t="s">
        <v>69</v>
      </c>
      <c r="I103" s="960"/>
      <c r="J103" s="960"/>
      <c r="K103" s="960"/>
      <c r="L103" s="960"/>
      <c r="M103" s="961"/>
      <c r="N103" s="336"/>
      <c r="O103" s="299"/>
      <c r="P103" s="299"/>
      <c r="Q103" s="299"/>
      <c r="R103" s="299"/>
      <c r="S103" s="299"/>
      <c r="T103" s="299"/>
      <c r="U103" s="299"/>
      <c r="V103" s="498"/>
      <c r="W103" s="498"/>
      <c r="X103" s="498"/>
      <c r="Y103" s="498"/>
      <c r="Z103" s="498"/>
      <c r="AA103" s="498"/>
    </row>
    <row r="104" spans="1:27" ht="15" customHeight="1" thickTop="1" thickBot="1" x14ac:dyDescent="0.25">
      <c r="A104" s="286"/>
      <c r="B104" s="976"/>
      <c r="C104" s="977"/>
      <c r="D104" s="962" t="s">
        <v>74</v>
      </c>
      <c r="E104" s="963"/>
      <c r="F104" s="966" t="s">
        <v>75</v>
      </c>
      <c r="G104" s="967"/>
      <c r="H104" s="970" t="s">
        <v>76</v>
      </c>
      <c r="I104" s="971"/>
      <c r="J104" s="972" t="s">
        <v>1735</v>
      </c>
      <c r="K104" s="973"/>
      <c r="L104" s="970" t="s">
        <v>1736</v>
      </c>
      <c r="M104" s="971"/>
      <c r="N104" s="336"/>
      <c r="O104" s="299"/>
      <c r="P104" s="299"/>
      <c r="Q104" s="299"/>
      <c r="R104" s="299"/>
      <c r="S104" s="299"/>
      <c r="T104" s="299"/>
      <c r="U104" s="299"/>
      <c r="V104" s="498"/>
      <c r="W104" s="498"/>
      <c r="X104" s="498"/>
      <c r="Y104" s="498"/>
      <c r="Z104" s="498"/>
      <c r="AA104" s="498"/>
    </row>
    <row r="105" spans="1:27" ht="15" customHeight="1" thickTop="1" thickBot="1" x14ac:dyDescent="0.25">
      <c r="A105" s="286"/>
      <c r="B105" s="976"/>
      <c r="C105" s="977"/>
      <c r="D105" s="964"/>
      <c r="E105" s="965"/>
      <c r="F105" s="968"/>
      <c r="G105" s="969"/>
      <c r="H105" s="343" t="s">
        <v>1732</v>
      </c>
      <c r="I105" s="341"/>
      <c r="J105" s="345" t="s">
        <v>1733</v>
      </c>
      <c r="K105" s="577">
        <f>IF(E106=0,0,VLOOKUP(E106,RBRATES,2,0))</f>
        <v>0</v>
      </c>
      <c r="L105" s="343" t="s">
        <v>80</v>
      </c>
      <c r="M105" s="510">
        <f>$Z$18</f>
        <v>0</v>
      </c>
      <c r="N105" s="336"/>
      <c r="O105" s="299"/>
      <c r="P105" s="299"/>
      <c r="Q105" s="299"/>
      <c r="R105" s="299"/>
      <c r="S105" s="299"/>
      <c r="T105" s="299"/>
      <c r="U105" s="299"/>
      <c r="V105" s="498"/>
      <c r="W105" s="498"/>
      <c r="X105" s="498"/>
      <c r="Y105" s="498"/>
      <c r="Z105" s="498"/>
      <c r="AA105" s="498"/>
    </row>
    <row r="106" spans="1:27" ht="15" customHeight="1" thickTop="1" thickBot="1" x14ac:dyDescent="0.25">
      <c r="A106" s="286"/>
      <c r="B106" s="978"/>
      <c r="C106" s="979"/>
      <c r="D106" s="565" t="s">
        <v>1850</v>
      </c>
      <c r="E106" s="562">
        <f>INTAKE!C27</f>
        <v>0</v>
      </c>
      <c r="F106" s="342" t="s">
        <v>78</v>
      </c>
      <c r="G106" s="564" t="b">
        <f>IF(E106="HMO",$F$5,IF(E106="PPO",$H$5,IF(E106="CDHP",$J$5)))</f>
        <v>0</v>
      </c>
      <c r="H106" s="344" t="s">
        <v>82</v>
      </c>
      <c r="I106" s="341"/>
      <c r="J106" s="947"/>
      <c r="K106" s="948"/>
      <c r="L106" s="949"/>
      <c r="M106" s="950"/>
      <c r="N106" s="336"/>
      <c r="O106" s="299"/>
      <c r="P106" s="299"/>
      <c r="Q106" s="299"/>
      <c r="R106" s="299"/>
      <c r="S106" s="299"/>
      <c r="T106" s="299"/>
      <c r="U106" s="299"/>
      <c r="V106" s="498"/>
      <c r="W106" s="498"/>
      <c r="X106" s="498"/>
      <c r="Y106" s="498"/>
      <c r="Z106" s="498"/>
      <c r="AA106" s="498"/>
    </row>
    <row r="107" spans="1:27" ht="15" customHeight="1" thickTop="1" x14ac:dyDescent="0.2">
      <c r="A107" s="286"/>
      <c r="B107" s="951" t="s">
        <v>32</v>
      </c>
      <c r="C107" s="952"/>
      <c r="D107" s="953">
        <f>INTAKE!D$27</f>
        <v>0</v>
      </c>
      <c r="E107" s="954"/>
      <c r="F107" s="955"/>
      <c r="G107" s="956"/>
      <c r="H107" s="917" t="e">
        <f>VLOOKUP(I105,[3]PLANS!$A$1:$H$107,2,FALSE)</f>
        <v>#N/A</v>
      </c>
      <c r="I107" s="958"/>
      <c r="J107" s="919" t="e">
        <f t="shared" ref="J107:J113" si="26">H107</f>
        <v>#N/A</v>
      </c>
      <c r="K107" s="920"/>
      <c r="L107" s="921" t="e">
        <f t="shared" ref="L107:L113" si="27">H107</f>
        <v>#N/A</v>
      </c>
      <c r="M107" s="918"/>
      <c r="N107" s="336"/>
      <c r="O107" s="299"/>
      <c r="P107" s="299"/>
      <c r="Q107" s="299"/>
      <c r="R107" s="299"/>
      <c r="S107" s="299"/>
      <c r="T107" s="299"/>
      <c r="U107" s="299"/>
      <c r="V107" s="498"/>
      <c r="W107" s="498"/>
      <c r="X107" s="498"/>
      <c r="Y107" s="498"/>
      <c r="Z107" s="498"/>
      <c r="AA107" s="498"/>
    </row>
    <row r="108" spans="1:27" ht="15" customHeight="1" x14ac:dyDescent="0.2">
      <c r="A108" s="286"/>
      <c r="B108" s="938" t="s">
        <v>36</v>
      </c>
      <c r="C108" s="939"/>
      <c r="D108" s="936">
        <f>INTAKE!N$27</f>
        <v>0</v>
      </c>
      <c r="E108" s="937"/>
      <c r="F108" s="955"/>
      <c r="G108" s="957"/>
      <c r="H108" s="917" t="e">
        <f>VLOOKUP(I105,[3]PLANS!$A$1:$H$107,3,FALSE)</f>
        <v>#N/A</v>
      </c>
      <c r="I108" s="918"/>
      <c r="J108" s="919" t="e">
        <f t="shared" si="26"/>
        <v>#N/A</v>
      </c>
      <c r="K108" s="920"/>
      <c r="L108" s="921" t="e">
        <f t="shared" si="27"/>
        <v>#N/A</v>
      </c>
      <c r="M108" s="918"/>
      <c r="N108" s="336"/>
      <c r="O108" s="299"/>
      <c r="P108" s="299"/>
      <c r="Q108" s="299"/>
      <c r="R108" s="299"/>
      <c r="S108" s="299"/>
      <c r="T108" s="299"/>
      <c r="U108" s="299"/>
      <c r="V108" s="498"/>
      <c r="W108" s="498"/>
      <c r="X108" s="498"/>
      <c r="Y108" s="498"/>
      <c r="Z108" s="498"/>
      <c r="AA108" s="498"/>
    </row>
    <row r="109" spans="1:27" ht="15" customHeight="1" x14ac:dyDescent="0.2">
      <c r="A109" s="286"/>
      <c r="B109" s="945" t="s">
        <v>37</v>
      </c>
      <c r="C109" s="946"/>
      <c r="D109" s="936">
        <f>INTAKE!O$27</f>
        <v>0</v>
      </c>
      <c r="E109" s="937"/>
      <c r="F109" s="955"/>
      <c r="G109" s="957"/>
      <c r="H109" s="917" t="e">
        <f>VLOOKUP(I105,[3]PLANS!$A$1:$H$107,4,FALSE)</f>
        <v>#N/A</v>
      </c>
      <c r="I109" s="918"/>
      <c r="J109" s="919" t="e">
        <f t="shared" si="26"/>
        <v>#N/A</v>
      </c>
      <c r="K109" s="920"/>
      <c r="L109" s="921" t="e">
        <f t="shared" si="27"/>
        <v>#N/A</v>
      </c>
      <c r="M109" s="918"/>
      <c r="N109" s="336"/>
      <c r="O109" s="299"/>
      <c r="P109" s="299"/>
      <c r="Q109" s="299"/>
      <c r="R109" s="299"/>
      <c r="S109" s="299"/>
      <c r="T109" s="299"/>
      <c r="U109" s="299"/>
      <c r="V109" s="498"/>
      <c r="W109" s="498"/>
      <c r="X109" s="498"/>
      <c r="Y109" s="498"/>
      <c r="Z109" s="498"/>
      <c r="AA109" s="498"/>
    </row>
    <row r="110" spans="1:27" ht="15" customHeight="1" x14ac:dyDescent="0.2">
      <c r="A110" s="286"/>
      <c r="B110" s="934" t="s">
        <v>38</v>
      </c>
      <c r="C110" s="935"/>
      <c r="D110" s="915">
        <f>INTAKE!P$27</f>
        <v>0</v>
      </c>
      <c r="E110" s="916"/>
      <c r="F110" s="955"/>
      <c r="G110" s="957"/>
      <c r="H110" s="917" t="e">
        <f>VLOOKUP(I105,[3]PLANS!$A$1:$H$107,5,FALSE)</f>
        <v>#N/A</v>
      </c>
      <c r="I110" s="918"/>
      <c r="J110" s="919" t="e">
        <f t="shared" si="26"/>
        <v>#N/A</v>
      </c>
      <c r="K110" s="920"/>
      <c r="L110" s="921" t="e">
        <f t="shared" si="27"/>
        <v>#N/A</v>
      </c>
      <c r="M110" s="918"/>
      <c r="N110" s="336"/>
      <c r="O110" s="299"/>
      <c r="P110" s="299"/>
      <c r="Q110" s="299"/>
      <c r="R110" s="299"/>
      <c r="S110" s="299"/>
      <c r="T110" s="299"/>
      <c r="U110" s="299"/>
      <c r="V110" s="498"/>
      <c r="W110" s="498"/>
      <c r="X110" s="498"/>
      <c r="Y110" s="498"/>
      <c r="Z110" s="498"/>
      <c r="AA110" s="498"/>
    </row>
    <row r="111" spans="1:27" ht="15" customHeight="1" x14ac:dyDescent="0.2">
      <c r="A111" s="286"/>
      <c r="B111" s="934" t="s">
        <v>39</v>
      </c>
      <c r="C111" s="935"/>
      <c r="D111" s="915">
        <f>INTAKE!Q$27</f>
        <v>0</v>
      </c>
      <c r="E111" s="916"/>
      <c r="F111" s="955"/>
      <c r="G111" s="957"/>
      <c r="H111" s="917" t="e">
        <f>VLOOKUP(I105,[3]PLANS!$A$1:$H$107,6,FALSE)</f>
        <v>#N/A</v>
      </c>
      <c r="I111" s="918"/>
      <c r="J111" s="919" t="e">
        <f t="shared" si="26"/>
        <v>#N/A</v>
      </c>
      <c r="K111" s="920"/>
      <c r="L111" s="921" t="e">
        <f t="shared" si="27"/>
        <v>#N/A</v>
      </c>
      <c r="M111" s="918"/>
      <c r="N111" s="336"/>
      <c r="O111" s="299"/>
      <c r="P111" s="299"/>
      <c r="Q111" s="299"/>
      <c r="R111" s="299"/>
      <c r="S111" s="299"/>
      <c r="T111" s="299"/>
      <c r="U111" s="299"/>
      <c r="V111" s="498"/>
      <c r="W111" s="498"/>
      <c r="X111" s="498"/>
      <c r="Y111" s="498"/>
      <c r="Z111" s="498"/>
      <c r="AA111" s="498"/>
    </row>
    <row r="112" spans="1:27" ht="15" customHeight="1" x14ac:dyDescent="0.2">
      <c r="A112" s="286"/>
      <c r="B112" s="934" t="s">
        <v>90</v>
      </c>
      <c r="C112" s="935"/>
      <c r="D112" s="936">
        <f>INTAKE!R$27</f>
        <v>0</v>
      </c>
      <c r="E112" s="937"/>
      <c r="F112" s="955"/>
      <c r="G112" s="957"/>
      <c r="H112" s="917" t="e">
        <f>VLOOKUP(I105,[3]PLANS!$A$1:$H$107,7,FALSE)</f>
        <v>#N/A</v>
      </c>
      <c r="I112" s="918"/>
      <c r="J112" s="919" t="e">
        <f t="shared" si="26"/>
        <v>#N/A</v>
      </c>
      <c r="K112" s="920"/>
      <c r="L112" s="921" t="e">
        <f t="shared" si="27"/>
        <v>#N/A</v>
      </c>
      <c r="M112" s="918"/>
      <c r="N112" s="336"/>
      <c r="O112" s="299"/>
      <c r="P112" s="299"/>
      <c r="Q112" s="299"/>
      <c r="R112" s="299"/>
      <c r="S112" s="299"/>
      <c r="T112" s="299"/>
      <c r="U112" s="299"/>
      <c r="V112" s="498"/>
      <c r="W112" s="498"/>
      <c r="X112" s="498"/>
      <c r="Y112" s="498"/>
      <c r="Z112" s="498"/>
      <c r="AA112" s="498"/>
    </row>
    <row r="113" spans="1:27" ht="15" customHeight="1" x14ac:dyDescent="0.2">
      <c r="A113" s="286"/>
      <c r="B113" s="938" t="s">
        <v>92</v>
      </c>
      <c r="C113" s="939"/>
      <c r="D113" s="936">
        <f>INTAKE!S$27</f>
        <v>0</v>
      </c>
      <c r="E113" s="937"/>
      <c r="F113" s="955"/>
      <c r="G113" s="957"/>
      <c r="H113" s="940" t="e">
        <f>VLOOKUP(I105,[3]PLANS!$A$1:$H$107,8,FALSE)</f>
        <v>#N/A</v>
      </c>
      <c r="I113" s="941"/>
      <c r="J113" s="942" t="e">
        <f t="shared" si="26"/>
        <v>#N/A</v>
      </c>
      <c r="K113" s="943"/>
      <c r="L113" s="944" t="e">
        <f t="shared" si="27"/>
        <v>#N/A</v>
      </c>
      <c r="M113" s="941"/>
      <c r="N113" s="336"/>
      <c r="O113" s="299"/>
      <c r="P113" s="299"/>
      <c r="Q113" s="299"/>
      <c r="R113" s="299"/>
      <c r="S113" s="299"/>
      <c r="T113" s="299"/>
      <c r="U113" s="299"/>
      <c r="V113" s="498"/>
      <c r="W113" s="498"/>
      <c r="X113" s="498"/>
      <c r="Y113" s="498"/>
      <c r="Z113" s="498"/>
      <c r="AA113" s="498"/>
    </row>
    <row r="114" spans="1:27" ht="15" customHeight="1" thickBot="1" x14ac:dyDescent="0.25">
      <c r="A114" s="286"/>
      <c r="B114" s="922" t="s">
        <v>93</v>
      </c>
      <c r="C114" s="923"/>
      <c r="D114" s="245" t="s">
        <v>29</v>
      </c>
      <c r="E114" s="246" t="s">
        <v>94</v>
      </c>
      <c r="F114" s="247" t="s">
        <v>29</v>
      </c>
      <c r="G114" s="248" t="s">
        <v>94</v>
      </c>
      <c r="H114" s="366" t="s">
        <v>29</v>
      </c>
      <c r="I114" s="249" t="s">
        <v>94</v>
      </c>
      <c r="J114" s="250" t="s">
        <v>29</v>
      </c>
      <c r="K114" s="251" t="s">
        <v>94</v>
      </c>
      <c r="L114" s="252" t="s">
        <v>29</v>
      </c>
      <c r="M114" s="249" t="s">
        <v>94</v>
      </c>
      <c r="N114" s="336"/>
      <c r="O114" s="299"/>
      <c r="P114" s="299"/>
      <c r="Q114" s="299"/>
      <c r="R114" s="299"/>
      <c r="S114" s="299"/>
      <c r="T114" s="299"/>
      <c r="U114" s="299"/>
      <c r="V114" s="498"/>
      <c r="W114" s="498"/>
      <c r="X114" s="498"/>
      <c r="Y114" s="498"/>
      <c r="Z114" s="498"/>
      <c r="AA114" s="498"/>
    </row>
    <row r="115" spans="1:27" ht="15" customHeight="1" thickBot="1" x14ac:dyDescent="0.25">
      <c r="A115" s="286"/>
      <c r="B115" s="699" t="s">
        <v>95</v>
      </c>
      <c r="C115" s="237">
        <f>INTAKE!I$28</f>
        <v>0</v>
      </c>
      <c r="D115" s="236">
        <f>INTAKE!I27</f>
        <v>0</v>
      </c>
      <c r="E115" s="234">
        <f>C115*D115</f>
        <v>0</v>
      </c>
      <c r="F115" s="233">
        <f>SUM(1+G106/1)*D115</f>
        <v>0</v>
      </c>
      <c r="G115" s="364">
        <f>C115*F115</f>
        <v>0</v>
      </c>
      <c r="H115" s="368">
        <v>0</v>
      </c>
      <c r="I115" s="365">
        <f>C115*H115</f>
        <v>0</v>
      </c>
      <c r="J115" s="230">
        <f>IF($U$20&lt;0%,0,SUM(H115)*(1-K105)*1)</f>
        <v>0</v>
      </c>
      <c r="K115" s="231">
        <f>IF(J115=0,0,C115*J115)</f>
        <v>0</v>
      </c>
      <c r="L115" s="244">
        <f>IF($Z$17=0,0,SUM(J115)*(1-M105)*1)</f>
        <v>0</v>
      </c>
      <c r="M115" s="242">
        <f>C115*L115</f>
        <v>0</v>
      </c>
      <c r="N115" s="336"/>
      <c r="O115" s="299"/>
      <c r="P115" s="299"/>
      <c r="Q115" s="299"/>
      <c r="R115" s="299"/>
      <c r="S115" s="299"/>
      <c r="T115" s="299"/>
      <c r="U115" s="299"/>
      <c r="V115" s="498"/>
      <c r="W115" s="498"/>
      <c r="X115" s="498"/>
      <c r="Y115" s="498"/>
      <c r="Z115" s="498"/>
      <c r="AA115" s="498"/>
    </row>
    <row r="116" spans="1:27" ht="15" customHeight="1" x14ac:dyDescent="0.2">
      <c r="A116" s="286"/>
      <c r="B116" s="699" t="s">
        <v>1914</v>
      </c>
      <c r="C116" s="237">
        <f>INTAKE!J$28</f>
        <v>0</v>
      </c>
      <c r="D116" s="236">
        <f>INTAKE!J27</f>
        <v>0</v>
      </c>
      <c r="E116" s="234">
        <f t="shared" ref="E116:E117" si="28">C116*D116</f>
        <v>0</v>
      </c>
      <c r="F116" s="233">
        <f>SUM(1+G106/1)*D116</f>
        <v>0</v>
      </c>
      <c r="G116" s="232">
        <f t="shared" ref="G116:G117" si="29">C116*F116</f>
        <v>0</v>
      </c>
      <c r="H116" s="367">
        <f>2.2*H115</f>
        <v>0</v>
      </c>
      <c r="I116" s="242">
        <f>C116*H116</f>
        <v>0</v>
      </c>
      <c r="J116" s="230">
        <f>IF($U$20&lt;0%,0,SUM(H116)*(1-K105)*1)</f>
        <v>0</v>
      </c>
      <c r="K116" s="231">
        <f t="shared" ref="K116:K117" si="30">IF(J116=0,0,C116*J116)</f>
        <v>0</v>
      </c>
      <c r="L116" s="244">
        <f>IF($Z$17=0,0,SUM(J116)*(1-M105)*1)</f>
        <v>0</v>
      </c>
      <c r="M116" s="242">
        <f>C116*L116</f>
        <v>0</v>
      </c>
      <c r="N116" s="336"/>
      <c r="O116" s="299"/>
      <c r="P116" s="299"/>
      <c r="Q116" s="299"/>
      <c r="R116" s="299"/>
      <c r="S116" s="299"/>
      <c r="T116" s="299"/>
      <c r="U116" s="299"/>
      <c r="V116" s="498"/>
      <c r="W116" s="498"/>
      <c r="X116" s="498"/>
      <c r="Y116" s="498"/>
      <c r="Z116" s="498"/>
      <c r="AA116" s="498"/>
    </row>
    <row r="117" spans="1:27" ht="15" customHeight="1" x14ac:dyDescent="0.2">
      <c r="A117" s="286"/>
      <c r="B117" s="699" t="s">
        <v>1915</v>
      </c>
      <c r="C117" s="237">
        <f>INTAKE!K$28</f>
        <v>0</v>
      </c>
      <c r="D117" s="236">
        <f>INTAKE!K27</f>
        <v>0</v>
      </c>
      <c r="E117" s="234">
        <f t="shared" si="28"/>
        <v>0</v>
      </c>
      <c r="F117" s="233">
        <f>SUM(1+G106/1)*D117</f>
        <v>0</v>
      </c>
      <c r="G117" s="232">
        <f t="shared" si="29"/>
        <v>0</v>
      </c>
      <c r="H117" s="243">
        <f>1.8*H115</f>
        <v>0</v>
      </c>
      <c r="I117" s="242">
        <f>C117*H117</f>
        <v>0</v>
      </c>
      <c r="J117" s="230">
        <f>IF($U$20&lt;0%,0,SUM(H117)*(1-K105)*1)</f>
        <v>0</v>
      </c>
      <c r="K117" s="231">
        <f t="shared" si="30"/>
        <v>0</v>
      </c>
      <c r="L117" s="244">
        <f>IF($Z$17=0,0,SUM(J117)*(1-M105)*1)</f>
        <v>0</v>
      </c>
      <c r="M117" s="242">
        <f>C117*L117</f>
        <v>0</v>
      </c>
      <c r="N117" s="336"/>
      <c r="O117" s="299"/>
      <c r="P117" s="299"/>
      <c r="Q117" s="299"/>
      <c r="R117" s="299"/>
      <c r="S117" s="299"/>
      <c r="T117" s="299"/>
      <c r="U117" s="299"/>
      <c r="V117" s="498"/>
      <c r="W117" s="498"/>
      <c r="X117" s="498"/>
      <c r="Y117" s="498"/>
      <c r="Z117" s="498"/>
      <c r="AA117" s="498"/>
    </row>
    <row r="118" spans="1:27" ht="15" customHeight="1" x14ac:dyDescent="0.2">
      <c r="A118" s="286"/>
      <c r="B118" s="699"/>
      <c r="C118" s="237">
        <f>INTAKE!L$28</f>
        <v>0</v>
      </c>
      <c r="D118" s="694"/>
      <c r="E118" s="695"/>
      <c r="F118" s="694"/>
      <c r="G118" s="695"/>
      <c r="H118" s="694"/>
      <c r="I118" s="695"/>
      <c r="J118" s="694"/>
      <c r="K118" s="695"/>
      <c r="L118" s="694"/>
      <c r="M118" s="695"/>
      <c r="N118" s="336"/>
      <c r="O118" s="299"/>
      <c r="P118" s="299"/>
      <c r="Q118" s="299"/>
      <c r="R118" s="299"/>
      <c r="S118" s="299"/>
      <c r="T118" s="299"/>
      <c r="U118" s="299"/>
      <c r="V118" s="498"/>
      <c r="W118" s="498"/>
      <c r="X118" s="498"/>
      <c r="Y118" s="498"/>
      <c r="Z118" s="498"/>
      <c r="AA118" s="498"/>
    </row>
    <row r="119" spans="1:27" ht="15" customHeight="1" x14ac:dyDescent="0.2">
      <c r="A119" s="286"/>
      <c r="B119" s="924"/>
      <c r="C119" s="925"/>
      <c r="D119" s="358" t="s">
        <v>1734</v>
      </c>
      <c r="E119" s="356">
        <f>SUM(E115:E118)</f>
        <v>0</v>
      </c>
      <c r="F119" s="362" t="s">
        <v>1734</v>
      </c>
      <c r="G119" s="360">
        <f>SUM(G115:G118)</f>
        <v>0</v>
      </c>
      <c r="H119" s="346" t="s">
        <v>1734</v>
      </c>
      <c r="I119" s="347">
        <f>SUM(I115:I118)</f>
        <v>0</v>
      </c>
      <c r="J119" s="350" t="s">
        <v>1734</v>
      </c>
      <c r="K119" s="351">
        <f>IF($M$6&lt;0%=0,0,SUM(K115:K118))</f>
        <v>0</v>
      </c>
      <c r="L119" s="352" t="s">
        <v>1734</v>
      </c>
      <c r="M119" s="347">
        <f>SUM(M115:M118)</f>
        <v>0</v>
      </c>
      <c r="N119" s="336"/>
      <c r="O119" s="299"/>
      <c r="P119" s="299"/>
      <c r="Q119" s="299"/>
      <c r="R119" s="299"/>
      <c r="S119" s="299"/>
      <c r="T119" s="299"/>
      <c r="U119" s="299"/>
      <c r="V119" s="498"/>
      <c r="W119" s="498"/>
      <c r="X119" s="498"/>
      <c r="Y119" s="498"/>
      <c r="Z119" s="498"/>
      <c r="AA119" s="498"/>
    </row>
    <row r="120" spans="1:27" ht="15" customHeight="1" x14ac:dyDescent="0.2">
      <c r="A120" s="286"/>
      <c r="B120" s="926"/>
      <c r="C120" s="927"/>
      <c r="D120" s="358" t="s">
        <v>1767</v>
      </c>
      <c r="E120" s="359">
        <f>E119*12</f>
        <v>0</v>
      </c>
      <c r="F120" s="362" t="s">
        <v>1767</v>
      </c>
      <c r="G120" s="363">
        <f>G119*12</f>
        <v>0</v>
      </c>
      <c r="H120" s="348" t="s">
        <v>1767</v>
      </c>
      <c r="I120" s="349">
        <f>I119*12</f>
        <v>0</v>
      </c>
      <c r="J120" s="353" t="s">
        <v>1767</v>
      </c>
      <c r="K120" s="354">
        <f>K119*12</f>
        <v>0</v>
      </c>
      <c r="L120" s="355" t="s">
        <v>1767</v>
      </c>
      <c r="M120" s="349">
        <f>M119*12</f>
        <v>0</v>
      </c>
      <c r="N120" s="336"/>
      <c r="O120" s="299"/>
      <c r="P120" s="299"/>
      <c r="Q120" s="299"/>
      <c r="R120" s="299"/>
      <c r="S120" s="299"/>
      <c r="T120" s="299"/>
      <c r="U120" s="299"/>
      <c r="V120" s="498"/>
      <c r="W120" s="498"/>
      <c r="X120" s="498"/>
      <c r="Y120" s="498"/>
      <c r="Z120" s="498"/>
      <c r="AA120" s="498"/>
    </row>
    <row r="121" spans="1:27" ht="15" customHeight="1" thickBot="1" x14ac:dyDescent="0.25">
      <c r="A121" s="286"/>
      <c r="B121" s="928"/>
      <c r="C121" s="929"/>
      <c r="D121" s="930"/>
      <c r="E121" s="931"/>
      <c r="F121" s="932"/>
      <c r="G121" s="933"/>
      <c r="H121" s="255" t="s">
        <v>1731</v>
      </c>
      <c r="I121" s="256" t="str">
        <f>IF(I119&lt;1,"",(E120-I120)/E120*-1)</f>
        <v/>
      </c>
      <c r="J121" s="257" t="s">
        <v>1731</v>
      </c>
      <c r="K121" s="258">
        <f>IF(K120=0,0,(E120-K120)/E120*-1)</f>
        <v>0</v>
      </c>
      <c r="L121" s="259" t="s">
        <v>1731</v>
      </c>
      <c r="M121" s="256">
        <f>IF(I119=0,0,(E120-M120)/E120*-1)</f>
        <v>0</v>
      </c>
      <c r="N121" s="336"/>
      <c r="O121" s="299"/>
      <c r="P121" s="299"/>
      <c r="Q121" s="299"/>
      <c r="R121" s="299"/>
      <c r="S121" s="299"/>
      <c r="T121" s="299"/>
      <c r="U121" s="299"/>
      <c r="V121" s="498"/>
      <c r="W121" s="498"/>
      <c r="X121" s="498"/>
      <c r="Y121" s="498"/>
      <c r="Z121" s="498"/>
      <c r="AA121" s="498"/>
    </row>
    <row r="122" spans="1:27" ht="15" customHeight="1" thickTop="1" thickBot="1" x14ac:dyDescent="0.25">
      <c r="A122" s="286"/>
      <c r="B122" s="974" t="s">
        <v>119</v>
      </c>
      <c r="C122" s="975"/>
      <c r="D122" s="980" t="s">
        <v>68</v>
      </c>
      <c r="E122" s="981"/>
      <c r="F122" s="981"/>
      <c r="G122" s="982"/>
      <c r="H122" s="959" t="s">
        <v>69</v>
      </c>
      <c r="I122" s="960"/>
      <c r="J122" s="960"/>
      <c r="K122" s="960"/>
      <c r="L122" s="960"/>
      <c r="M122" s="961"/>
      <c r="N122" s="336"/>
      <c r="O122" s="299"/>
      <c r="P122" s="299"/>
      <c r="Q122" s="299"/>
      <c r="R122" s="299"/>
      <c r="S122" s="299"/>
      <c r="T122" s="299"/>
      <c r="U122" s="299"/>
      <c r="V122" s="498"/>
      <c r="W122" s="498"/>
      <c r="X122" s="498"/>
      <c r="Y122" s="498"/>
      <c r="Z122" s="498"/>
      <c r="AA122" s="498"/>
    </row>
    <row r="123" spans="1:27" ht="15" customHeight="1" thickTop="1" thickBot="1" x14ac:dyDescent="0.25">
      <c r="A123" s="286"/>
      <c r="B123" s="976"/>
      <c r="C123" s="977"/>
      <c r="D123" s="962" t="s">
        <v>74</v>
      </c>
      <c r="E123" s="963"/>
      <c r="F123" s="966" t="s">
        <v>75</v>
      </c>
      <c r="G123" s="967"/>
      <c r="H123" s="970" t="s">
        <v>76</v>
      </c>
      <c r="I123" s="971"/>
      <c r="J123" s="972" t="s">
        <v>1735</v>
      </c>
      <c r="K123" s="973"/>
      <c r="L123" s="970" t="s">
        <v>1736</v>
      </c>
      <c r="M123" s="971"/>
      <c r="N123" s="336"/>
      <c r="O123" s="299"/>
      <c r="P123" s="299"/>
      <c r="Q123" s="299"/>
      <c r="R123" s="299"/>
      <c r="S123" s="299"/>
      <c r="T123" s="299"/>
      <c r="U123" s="299"/>
      <c r="V123" s="498"/>
      <c r="W123" s="498"/>
      <c r="X123" s="498"/>
      <c r="Y123" s="498"/>
      <c r="Z123" s="498"/>
      <c r="AA123" s="498"/>
    </row>
    <row r="124" spans="1:27" ht="15" customHeight="1" thickTop="1" thickBot="1" x14ac:dyDescent="0.25">
      <c r="A124" s="286"/>
      <c r="B124" s="976"/>
      <c r="C124" s="977"/>
      <c r="D124" s="964"/>
      <c r="E124" s="965"/>
      <c r="F124" s="968"/>
      <c r="G124" s="969"/>
      <c r="H124" s="343" t="s">
        <v>1732</v>
      </c>
      <c r="I124" s="341"/>
      <c r="J124" s="345" t="s">
        <v>1733</v>
      </c>
      <c r="K124" s="577">
        <f>IF(E125=0,0,VLOOKUP(E125,RBRATES,2,0))</f>
        <v>0</v>
      </c>
      <c r="L124" s="343" t="s">
        <v>80</v>
      </c>
      <c r="M124" s="510">
        <f>$Z$18</f>
        <v>0</v>
      </c>
      <c r="N124" s="336"/>
      <c r="O124" s="299"/>
      <c r="P124" s="299"/>
      <c r="Q124" s="299"/>
      <c r="R124" s="299"/>
      <c r="S124" s="299"/>
      <c r="T124" s="299"/>
      <c r="U124" s="299"/>
      <c r="V124" s="498"/>
      <c r="W124" s="498"/>
      <c r="X124" s="498"/>
      <c r="Y124" s="498"/>
      <c r="Z124" s="498"/>
      <c r="AA124" s="498"/>
    </row>
    <row r="125" spans="1:27" ht="15" customHeight="1" thickTop="1" thickBot="1" x14ac:dyDescent="0.25">
      <c r="A125" s="286"/>
      <c r="B125" s="978"/>
      <c r="C125" s="979"/>
      <c r="D125" s="565" t="s">
        <v>1850</v>
      </c>
      <c r="E125" s="562">
        <f>INTAKE!C29</f>
        <v>0</v>
      </c>
      <c r="F125" s="342" t="s">
        <v>78</v>
      </c>
      <c r="G125" s="564" t="b">
        <f>IF(E125="HMO",$F$5,IF(E125="PPO",$H$5,IF(E125="CDHP",$J$5)))</f>
        <v>0</v>
      </c>
      <c r="H125" s="344" t="s">
        <v>82</v>
      </c>
      <c r="I125" s="341"/>
      <c r="J125" s="947"/>
      <c r="K125" s="948"/>
      <c r="L125" s="949"/>
      <c r="M125" s="950"/>
      <c r="N125" s="336"/>
      <c r="O125" s="299"/>
      <c r="P125" s="299"/>
      <c r="Q125" s="299"/>
      <c r="R125" s="299"/>
      <c r="S125" s="299"/>
      <c r="T125" s="299"/>
      <c r="U125" s="299"/>
      <c r="V125" s="498"/>
      <c r="W125" s="498"/>
      <c r="X125" s="498"/>
      <c r="Y125" s="498"/>
      <c r="Z125" s="498"/>
      <c r="AA125" s="498"/>
    </row>
    <row r="126" spans="1:27" ht="15" customHeight="1" thickTop="1" x14ac:dyDescent="0.2">
      <c r="A126" s="286"/>
      <c r="B126" s="951" t="s">
        <v>32</v>
      </c>
      <c r="C126" s="952"/>
      <c r="D126" s="953">
        <f>INTAKE!D$29</f>
        <v>0</v>
      </c>
      <c r="E126" s="954"/>
      <c r="F126" s="955"/>
      <c r="G126" s="956"/>
      <c r="H126" s="917" t="e">
        <f>VLOOKUP(I124,[3]PLANS!$A$1:$H$107,2,FALSE)</f>
        <v>#N/A</v>
      </c>
      <c r="I126" s="958"/>
      <c r="J126" s="919" t="e">
        <f t="shared" ref="J126:J132" si="31">H126</f>
        <v>#N/A</v>
      </c>
      <c r="K126" s="920"/>
      <c r="L126" s="921" t="e">
        <f t="shared" ref="L126:L132" si="32">H126</f>
        <v>#N/A</v>
      </c>
      <c r="M126" s="918"/>
      <c r="N126" s="336"/>
      <c r="O126" s="299"/>
      <c r="P126" s="299"/>
      <c r="Q126" s="299"/>
      <c r="R126" s="299"/>
      <c r="S126" s="299"/>
      <c r="T126" s="299"/>
      <c r="U126" s="299"/>
      <c r="V126" s="498"/>
      <c r="W126" s="498"/>
      <c r="X126" s="498"/>
      <c r="Y126" s="498"/>
      <c r="Z126" s="498"/>
      <c r="AA126" s="498"/>
    </row>
    <row r="127" spans="1:27" ht="15" customHeight="1" x14ac:dyDescent="0.2">
      <c r="A127" s="286"/>
      <c r="B127" s="938" t="s">
        <v>36</v>
      </c>
      <c r="C127" s="939"/>
      <c r="D127" s="936">
        <f>INTAKE!N$29</f>
        <v>0</v>
      </c>
      <c r="E127" s="937"/>
      <c r="F127" s="955"/>
      <c r="G127" s="957"/>
      <c r="H127" s="917" t="e">
        <f>VLOOKUP(I124,[3]PLANS!$A$1:$H$107,3,FALSE)</f>
        <v>#N/A</v>
      </c>
      <c r="I127" s="918"/>
      <c r="J127" s="919" t="e">
        <f t="shared" si="31"/>
        <v>#N/A</v>
      </c>
      <c r="K127" s="920"/>
      <c r="L127" s="921" t="e">
        <f t="shared" si="32"/>
        <v>#N/A</v>
      </c>
      <c r="M127" s="918"/>
      <c r="N127" s="336"/>
      <c r="O127" s="299"/>
      <c r="P127" s="299"/>
      <c r="Q127" s="299"/>
      <c r="R127" s="299"/>
      <c r="S127" s="299"/>
      <c r="T127" s="299"/>
      <c r="U127" s="299"/>
      <c r="V127" s="498"/>
      <c r="W127" s="498"/>
      <c r="X127" s="498"/>
      <c r="Y127" s="498"/>
      <c r="Z127" s="498"/>
      <c r="AA127" s="498"/>
    </row>
    <row r="128" spans="1:27" ht="15" customHeight="1" x14ac:dyDescent="0.2">
      <c r="A128" s="286"/>
      <c r="B128" s="945" t="s">
        <v>37</v>
      </c>
      <c r="C128" s="946"/>
      <c r="D128" s="936">
        <f>INTAKE!O$29</f>
        <v>0</v>
      </c>
      <c r="E128" s="937"/>
      <c r="F128" s="955"/>
      <c r="G128" s="957"/>
      <c r="H128" s="917" t="e">
        <f>VLOOKUP(I124,[3]PLANS!$A$1:$H$107,4,FALSE)</f>
        <v>#N/A</v>
      </c>
      <c r="I128" s="918"/>
      <c r="J128" s="919" t="e">
        <f t="shared" si="31"/>
        <v>#N/A</v>
      </c>
      <c r="K128" s="920"/>
      <c r="L128" s="921" t="e">
        <f t="shared" si="32"/>
        <v>#N/A</v>
      </c>
      <c r="M128" s="918"/>
      <c r="N128" s="336"/>
      <c r="O128" s="299"/>
      <c r="P128" s="299"/>
      <c r="Q128" s="299"/>
      <c r="R128" s="299"/>
      <c r="S128" s="299"/>
      <c r="T128" s="299"/>
      <c r="U128" s="299"/>
      <c r="V128" s="498"/>
      <c r="W128" s="498"/>
      <c r="X128" s="498"/>
      <c r="Y128" s="498"/>
      <c r="Z128" s="498"/>
      <c r="AA128" s="498"/>
    </row>
    <row r="129" spans="1:27" ht="15" customHeight="1" x14ac:dyDescent="0.2">
      <c r="A129" s="286"/>
      <c r="B129" s="934" t="s">
        <v>38</v>
      </c>
      <c r="C129" s="935"/>
      <c r="D129" s="915">
        <f>INTAKE!P$29</f>
        <v>0</v>
      </c>
      <c r="E129" s="916"/>
      <c r="F129" s="955"/>
      <c r="G129" s="957"/>
      <c r="H129" s="917" t="e">
        <f>VLOOKUP(I124,[3]PLANS!$A$1:$H$107,5,FALSE)</f>
        <v>#N/A</v>
      </c>
      <c r="I129" s="918"/>
      <c r="J129" s="919" t="e">
        <f t="shared" si="31"/>
        <v>#N/A</v>
      </c>
      <c r="K129" s="920"/>
      <c r="L129" s="921" t="e">
        <f t="shared" si="32"/>
        <v>#N/A</v>
      </c>
      <c r="M129" s="918"/>
      <c r="N129" s="336"/>
      <c r="O129" s="299"/>
      <c r="P129" s="299"/>
      <c r="Q129" s="299"/>
      <c r="R129" s="299"/>
      <c r="S129" s="299"/>
      <c r="T129" s="299"/>
      <c r="U129" s="299"/>
      <c r="V129" s="498"/>
      <c r="W129" s="498"/>
      <c r="X129" s="498"/>
      <c r="Y129" s="498"/>
      <c r="Z129" s="498"/>
      <c r="AA129" s="498"/>
    </row>
    <row r="130" spans="1:27" ht="15" customHeight="1" x14ac:dyDescent="0.2">
      <c r="A130" s="286"/>
      <c r="B130" s="934" t="s">
        <v>39</v>
      </c>
      <c r="C130" s="935"/>
      <c r="D130" s="915">
        <f>INTAKE!Q$29</f>
        <v>0</v>
      </c>
      <c r="E130" s="916"/>
      <c r="F130" s="955"/>
      <c r="G130" s="957"/>
      <c r="H130" s="917" t="e">
        <f>VLOOKUP(I124,[3]PLANS!$A$1:$H$107,6,FALSE)</f>
        <v>#N/A</v>
      </c>
      <c r="I130" s="918"/>
      <c r="J130" s="919" t="e">
        <f t="shared" si="31"/>
        <v>#N/A</v>
      </c>
      <c r="K130" s="920"/>
      <c r="L130" s="921" t="e">
        <f t="shared" si="32"/>
        <v>#N/A</v>
      </c>
      <c r="M130" s="918"/>
      <c r="N130" s="336"/>
      <c r="O130" s="299"/>
      <c r="P130" s="299"/>
      <c r="Q130" s="299"/>
      <c r="R130" s="299"/>
      <c r="S130" s="299"/>
      <c r="T130" s="299"/>
      <c r="U130" s="299"/>
      <c r="V130" s="498"/>
      <c r="W130" s="498"/>
      <c r="X130" s="498"/>
      <c r="Y130" s="498"/>
      <c r="Z130" s="498"/>
      <c r="AA130" s="498"/>
    </row>
    <row r="131" spans="1:27" ht="15" customHeight="1" x14ac:dyDescent="0.2">
      <c r="A131" s="286"/>
      <c r="B131" s="934" t="s">
        <v>90</v>
      </c>
      <c r="C131" s="935"/>
      <c r="D131" s="936">
        <f>INTAKE!R$29</f>
        <v>0</v>
      </c>
      <c r="E131" s="937"/>
      <c r="F131" s="955"/>
      <c r="G131" s="957"/>
      <c r="H131" s="917" t="e">
        <f>VLOOKUP(I124,[3]PLANS!$A$1:$H$107,7,FALSE)</f>
        <v>#N/A</v>
      </c>
      <c r="I131" s="918"/>
      <c r="J131" s="919" t="e">
        <f t="shared" si="31"/>
        <v>#N/A</v>
      </c>
      <c r="K131" s="920"/>
      <c r="L131" s="921" t="e">
        <f t="shared" si="32"/>
        <v>#N/A</v>
      </c>
      <c r="M131" s="918"/>
      <c r="N131" s="336"/>
      <c r="O131" s="299"/>
      <c r="P131" s="299"/>
      <c r="Q131" s="299"/>
      <c r="R131" s="299"/>
      <c r="S131" s="299"/>
      <c r="T131" s="299"/>
      <c r="U131" s="299"/>
      <c r="V131" s="498"/>
      <c r="W131" s="498"/>
      <c r="X131" s="498"/>
      <c r="Y131" s="498"/>
      <c r="Z131" s="498"/>
      <c r="AA131" s="498"/>
    </row>
    <row r="132" spans="1:27" ht="15" customHeight="1" x14ac:dyDescent="0.2">
      <c r="A132" s="286"/>
      <c r="B132" s="938" t="s">
        <v>92</v>
      </c>
      <c r="C132" s="939"/>
      <c r="D132" s="936">
        <f>INTAKE!S$29</f>
        <v>0</v>
      </c>
      <c r="E132" s="937"/>
      <c r="F132" s="955"/>
      <c r="G132" s="957"/>
      <c r="H132" s="940" t="e">
        <f>VLOOKUP(I124,[3]PLANS!$A$1:$H$107,8,FALSE)</f>
        <v>#N/A</v>
      </c>
      <c r="I132" s="941"/>
      <c r="J132" s="942" t="e">
        <f t="shared" si="31"/>
        <v>#N/A</v>
      </c>
      <c r="K132" s="943"/>
      <c r="L132" s="944" t="e">
        <f t="shared" si="32"/>
        <v>#N/A</v>
      </c>
      <c r="M132" s="941"/>
      <c r="N132" s="336"/>
      <c r="O132" s="299"/>
      <c r="P132" s="299"/>
      <c r="Q132" s="299"/>
      <c r="R132" s="299"/>
      <c r="S132" s="299"/>
      <c r="T132" s="299"/>
      <c r="U132" s="299"/>
      <c r="V132" s="498"/>
      <c r="W132" s="498"/>
      <c r="X132" s="498"/>
      <c r="Y132" s="498"/>
      <c r="Z132" s="498"/>
      <c r="AA132" s="498"/>
    </row>
    <row r="133" spans="1:27" ht="15" customHeight="1" thickBot="1" x14ac:dyDescent="0.25">
      <c r="A133" s="286"/>
      <c r="B133" s="922" t="s">
        <v>93</v>
      </c>
      <c r="C133" s="923"/>
      <c r="D133" s="245" t="s">
        <v>29</v>
      </c>
      <c r="E133" s="246" t="s">
        <v>94</v>
      </c>
      <c r="F133" s="247" t="s">
        <v>29</v>
      </c>
      <c r="G133" s="248" t="s">
        <v>94</v>
      </c>
      <c r="H133" s="366" t="s">
        <v>29</v>
      </c>
      <c r="I133" s="249" t="s">
        <v>94</v>
      </c>
      <c r="J133" s="250" t="s">
        <v>29</v>
      </c>
      <c r="K133" s="251" t="s">
        <v>94</v>
      </c>
      <c r="L133" s="252" t="s">
        <v>29</v>
      </c>
      <c r="M133" s="249" t="s">
        <v>94</v>
      </c>
      <c r="N133" s="336"/>
      <c r="O133" s="299"/>
      <c r="P133" s="299"/>
      <c r="Q133" s="299"/>
      <c r="R133" s="299"/>
      <c r="S133" s="299"/>
      <c r="T133" s="299"/>
      <c r="U133" s="299"/>
      <c r="V133" s="498"/>
      <c r="W133" s="498"/>
      <c r="X133" s="498"/>
      <c r="Y133" s="498"/>
      <c r="Z133" s="498"/>
      <c r="AA133" s="498"/>
    </row>
    <row r="134" spans="1:27" ht="15" customHeight="1" thickBot="1" x14ac:dyDescent="0.25">
      <c r="A134" s="286"/>
      <c r="B134" s="699" t="s">
        <v>95</v>
      </c>
      <c r="C134" s="237">
        <f>INTAKE!I$30</f>
        <v>0</v>
      </c>
      <c r="D134" s="236">
        <f>INTAKE!I29</f>
        <v>0</v>
      </c>
      <c r="E134" s="234">
        <f>C134*D134</f>
        <v>0</v>
      </c>
      <c r="F134" s="233">
        <f>SUM(1+G125/1)*D134</f>
        <v>0</v>
      </c>
      <c r="G134" s="364">
        <f>C134*F134</f>
        <v>0</v>
      </c>
      <c r="H134" s="368">
        <v>0</v>
      </c>
      <c r="I134" s="365">
        <f>C134*H134</f>
        <v>0</v>
      </c>
      <c r="J134" s="230">
        <f>IF($U$20&lt;0%,0,SUM(H134)*(1-K124)*1)</f>
        <v>0</v>
      </c>
      <c r="K134" s="231">
        <f>IF(J134=0,0,C134*J134)</f>
        <v>0</v>
      </c>
      <c r="L134" s="244">
        <f>IF($Z$17=0,0,SUM(J134)*(1-M124)*1)</f>
        <v>0</v>
      </c>
      <c r="M134" s="242">
        <f>C134*L134</f>
        <v>0</v>
      </c>
      <c r="N134" s="336"/>
      <c r="O134" s="299"/>
      <c r="P134" s="299"/>
      <c r="Q134" s="299"/>
      <c r="R134" s="299"/>
      <c r="S134" s="299"/>
      <c r="T134" s="299"/>
      <c r="U134" s="299"/>
      <c r="V134" s="498"/>
      <c r="W134" s="498"/>
      <c r="X134" s="498"/>
      <c r="Y134" s="498"/>
      <c r="Z134" s="498"/>
      <c r="AA134" s="498"/>
    </row>
    <row r="135" spans="1:27" ht="15" customHeight="1" x14ac:dyDescent="0.2">
      <c r="A135" s="286"/>
      <c r="B135" s="699" t="s">
        <v>1914</v>
      </c>
      <c r="C135" s="237">
        <f>INTAKE!J$30</f>
        <v>0</v>
      </c>
      <c r="D135" s="236">
        <f>INTAKE!J29</f>
        <v>0</v>
      </c>
      <c r="E135" s="234">
        <f t="shared" ref="E135:E136" si="33">C135*D135</f>
        <v>0</v>
      </c>
      <c r="F135" s="233">
        <f>SUM(1+G125/1)*D135</f>
        <v>0</v>
      </c>
      <c r="G135" s="232">
        <f t="shared" ref="G135:G136" si="34">C135*F135</f>
        <v>0</v>
      </c>
      <c r="H135" s="367">
        <f>2.2*H134</f>
        <v>0</v>
      </c>
      <c r="I135" s="242">
        <f>C135*H135</f>
        <v>0</v>
      </c>
      <c r="J135" s="230">
        <f>IF($U$20&lt;0%,0,SUM(H135)*(1-K124)*1)</f>
        <v>0</v>
      </c>
      <c r="K135" s="231">
        <f t="shared" ref="K135:K136" si="35">IF(J135=0,0,C135*J135)</f>
        <v>0</v>
      </c>
      <c r="L135" s="244">
        <f>IF($Z$17=0,0,SUM(J135)*(1-M124)*1)</f>
        <v>0</v>
      </c>
      <c r="M135" s="242">
        <f>C135*L135</f>
        <v>0</v>
      </c>
      <c r="N135" s="336"/>
      <c r="O135" s="299"/>
      <c r="P135" s="299"/>
      <c r="Q135" s="299"/>
      <c r="R135" s="299"/>
      <c r="S135" s="299"/>
      <c r="T135" s="299"/>
      <c r="U135" s="299"/>
      <c r="V135" s="498"/>
      <c r="W135" s="498"/>
      <c r="X135" s="498"/>
      <c r="Y135" s="498"/>
      <c r="Z135" s="498"/>
      <c r="AA135" s="498"/>
    </row>
    <row r="136" spans="1:27" ht="15" customHeight="1" x14ac:dyDescent="0.2">
      <c r="A136" s="286"/>
      <c r="B136" s="699" t="s">
        <v>1915</v>
      </c>
      <c r="C136" s="237">
        <f>INTAKE!K$30</f>
        <v>0</v>
      </c>
      <c r="D136" s="236">
        <f>INTAKE!K29</f>
        <v>0</v>
      </c>
      <c r="E136" s="234">
        <f t="shared" si="33"/>
        <v>0</v>
      </c>
      <c r="F136" s="233">
        <f>SUM(1+G125/1)*D136</f>
        <v>0</v>
      </c>
      <c r="G136" s="232">
        <f t="shared" si="34"/>
        <v>0</v>
      </c>
      <c r="H136" s="243">
        <f>1.8*H134</f>
        <v>0</v>
      </c>
      <c r="I136" s="242">
        <f>C136*H136</f>
        <v>0</v>
      </c>
      <c r="J136" s="230">
        <f>IF($U$20&lt;0%,0,SUM(H136)*(1-K124)*1)</f>
        <v>0</v>
      </c>
      <c r="K136" s="231">
        <f t="shared" si="35"/>
        <v>0</v>
      </c>
      <c r="L136" s="244">
        <f>IF($Z$17=0,0,SUM(J136)*(1-M124)*1)</f>
        <v>0</v>
      </c>
      <c r="M136" s="242">
        <f>C136*L136</f>
        <v>0</v>
      </c>
      <c r="N136" s="336"/>
      <c r="O136" s="299"/>
      <c r="P136" s="299"/>
      <c r="Q136" s="299"/>
      <c r="R136" s="299"/>
      <c r="S136" s="299"/>
      <c r="T136" s="299"/>
      <c r="U136" s="299"/>
      <c r="V136" s="498"/>
      <c r="W136" s="498"/>
      <c r="X136" s="498"/>
      <c r="Y136" s="498"/>
      <c r="Z136" s="498"/>
      <c r="AA136" s="498"/>
    </row>
    <row r="137" spans="1:27" ht="15" customHeight="1" x14ac:dyDescent="0.2">
      <c r="A137" s="286"/>
      <c r="B137" s="699"/>
      <c r="C137" s="237">
        <f>INTAKE!L$30</f>
        <v>0</v>
      </c>
      <c r="D137" s="694"/>
      <c r="E137" s="695"/>
      <c r="F137" s="694"/>
      <c r="G137" s="695"/>
      <c r="H137" s="694"/>
      <c r="I137" s="695"/>
      <c r="J137" s="694"/>
      <c r="K137" s="695"/>
      <c r="L137" s="694"/>
      <c r="M137" s="695"/>
      <c r="N137" s="336"/>
      <c r="O137" s="299"/>
      <c r="P137" s="299"/>
      <c r="Q137" s="299"/>
      <c r="R137" s="299"/>
      <c r="S137" s="299"/>
      <c r="T137" s="299"/>
      <c r="U137" s="299"/>
      <c r="V137" s="498"/>
      <c r="W137" s="498"/>
      <c r="X137" s="498"/>
      <c r="Y137" s="498"/>
      <c r="Z137" s="498"/>
      <c r="AA137" s="498"/>
    </row>
    <row r="138" spans="1:27" ht="15" customHeight="1" x14ac:dyDescent="0.2">
      <c r="A138" s="286"/>
      <c r="B138" s="924"/>
      <c r="C138" s="925"/>
      <c r="D138" s="358" t="s">
        <v>1734</v>
      </c>
      <c r="E138" s="356">
        <f>SUM(E134:E137)</f>
        <v>0</v>
      </c>
      <c r="F138" s="362" t="s">
        <v>1734</v>
      </c>
      <c r="G138" s="360">
        <f>SUM(G134:G137)</f>
        <v>0</v>
      </c>
      <c r="H138" s="346" t="s">
        <v>1734</v>
      </c>
      <c r="I138" s="347">
        <f>SUM(I134:I137)</f>
        <v>0</v>
      </c>
      <c r="J138" s="350" t="s">
        <v>1734</v>
      </c>
      <c r="K138" s="351">
        <f>IF($M$6&lt;0%=0,0,SUM(K134:K137))</f>
        <v>0</v>
      </c>
      <c r="L138" s="352" t="s">
        <v>1734</v>
      </c>
      <c r="M138" s="347">
        <f>SUM(M134:M137)</f>
        <v>0</v>
      </c>
      <c r="N138" s="336"/>
      <c r="O138" s="299"/>
      <c r="P138" s="299"/>
      <c r="Q138" s="299"/>
      <c r="R138" s="299"/>
      <c r="S138" s="299"/>
      <c r="T138" s="299"/>
      <c r="U138" s="299"/>
      <c r="V138" s="498"/>
      <c r="W138" s="498"/>
      <c r="X138" s="498"/>
      <c r="Y138" s="498"/>
      <c r="Z138" s="498"/>
      <c r="AA138" s="498"/>
    </row>
    <row r="139" spans="1:27" ht="15" customHeight="1" x14ac:dyDescent="0.2">
      <c r="A139" s="286"/>
      <c r="B139" s="926"/>
      <c r="C139" s="927"/>
      <c r="D139" s="358" t="s">
        <v>1767</v>
      </c>
      <c r="E139" s="359">
        <f>E138*12</f>
        <v>0</v>
      </c>
      <c r="F139" s="362" t="s">
        <v>1767</v>
      </c>
      <c r="G139" s="363">
        <f>G138*12</f>
        <v>0</v>
      </c>
      <c r="H139" s="348" t="s">
        <v>1767</v>
      </c>
      <c r="I139" s="349">
        <f>I138*12</f>
        <v>0</v>
      </c>
      <c r="J139" s="353" t="s">
        <v>1767</v>
      </c>
      <c r="K139" s="354">
        <f>K138*12</f>
        <v>0</v>
      </c>
      <c r="L139" s="355" t="s">
        <v>1767</v>
      </c>
      <c r="M139" s="349">
        <f>M138*12</f>
        <v>0</v>
      </c>
      <c r="N139" s="336"/>
      <c r="O139" s="299"/>
      <c r="P139" s="299"/>
      <c r="Q139" s="299"/>
      <c r="R139" s="299"/>
      <c r="S139" s="299"/>
      <c r="T139" s="299"/>
      <c r="U139" s="299"/>
      <c r="V139" s="498"/>
      <c r="W139" s="498"/>
      <c r="X139" s="498"/>
      <c r="Y139" s="498"/>
      <c r="Z139" s="498"/>
      <c r="AA139" s="498"/>
    </row>
    <row r="140" spans="1:27" ht="15" customHeight="1" thickBot="1" x14ac:dyDescent="0.25">
      <c r="A140" s="286"/>
      <c r="B140" s="928"/>
      <c r="C140" s="929"/>
      <c r="D140" s="930"/>
      <c r="E140" s="931"/>
      <c r="F140" s="932"/>
      <c r="G140" s="933"/>
      <c r="H140" s="255" t="s">
        <v>1731</v>
      </c>
      <c r="I140" s="256" t="str">
        <f>IF(I138&lt;1,"",(E139-I139)/E139*-1)</f>
        <v/>
      </c>
      <c r="J140" s="257" t="s">
        <v>1731</v>
      </c>
      <c r="K140" s="258">
        <f>IF(K139=0,0,(E139-K139)/E139*-1)</f>
        <v>0</v>
      </c>
      <c r="L140" s="259" t="s">
        <v>1731</v>
      </c>
      <c r="M140" s="256">
        <f>IF(I138=0,0,(E139-M139)/E139*-1)</f>
        <v>0</v>
      </c>
      <c r="N140" s="336"/>
      <c r="O140" s="299"/>
      <c r="P140" s="299"/>
      <c r="Q140" s="299"/>
      <c r="R140" s="299"/>
      <c r="S140" s="299"/>
      <c r="T140" s="299"/>
      <c r="U140" s="299"/>
      <c r="V140" s="498"/>
      <c r="W140" s="498"/>
      <c r="X140" s="498"/>
      <c r="Y140" s="498"/>
      <c r="Z140" s="498"/>
      <c r="AA140" s="498"/>
    </row>
    <row r="141" spans="1:27" ht="15" customHeight="1" thickTop="1" thickBot="1" x14ac:dyDescent="0.25">
      <c r="A141" s="286"/>
      <c r="B141" s="974" t="s">
        <v>120</v>
      </c>
      <c r="C141" s="975"/>
      <c r="D141" s="980" t="s">
        <v>68</v>
      </c>
      <c r="E141" s="981"/>
      <c r="F141" s="981"/>
      <c r="G141" s="982"/>
      <c r="H141" s="959" t="s">
        <v>69</v>
      </c>
      <c r="I141" s="960"/>
      <c r="J141" s="960"/>
      <c r="K141" s="960"/>
      <c r="L141" s="960"/>
      <c r="M141" s="961"/>
      <c r="N141" s="336"/>
      <c r="O141" s="299"/>
      <c r="P141" s="299"/>
      <c r="Q141" s="299"/>
      <c r="R141" s="299"/>
      <c r="S141" s="299"/>
      <c r="T141" s="299"/>
      <c r="U141" s="299"/>
      <c r="V141" s="498"/>
      <c r="W141" s="498"/>
      <c r="X141" s="498"/>
      <c r="Y141" s="498"/>
      <c r="Z141" s="498"/>
      <c r="AA141" s="498"/>
    </row>
    <row r="142" spans="1:27" ht="15" customHeight="1" thickTop="1" thickBot="1" x14ac:dyDescent="0.25">
      <c r="A142" s="286"/>
      <c r="B142" s="976"/>
      <c r="C142" s="977"/>
      <c r="D142" s="962" t="s">
        <v>74</v>
      </c>
      <c r="E142" s="963"/>
      <c r="F142" s="966" t="s">
        <v>75</v>
      </c>
      <c r="G142" s="967"/>
      <c r="H142" s="970" t="s">
        <v>76</v>
      </c>
      <c r="I142" s="971"/>
      <c r="J142" s="972" t="s">
        <v>1735</v>
      </c>
      <c r="K142" s="973"/>
      <c r="L142" s="970" t="s">
        <v>1736</v>
      </c>
      <c r="M142" s="971"/>
      <c r="N142" s="336"/>
      <c r="O142" s="299"/>
      <c r="P142" s="299"/>
      <c r="Q142" s="299"/>
      <c r="R142" s="299"/>
      <c r="S142" s="299"/>
      <c r="T142" s="299"/>
      <c r="U142" s="299"/>
      <c r="V142" s="498"/>
      <c r="W142" s="498"/>
      <c r="X142" s="498"/>
      <c r="Y142" s="498"/>
      <c r="Z142" s="498"/>
      <c r="AA142" s="498"/>
    </row>
    <row r="143" spans="1:27" ht="15" customHeight="1" thickTop="1" thickBot="1" x14ac:dyDescent="0.25">
      <c r="A143" s="286"/>
      <c r="B143" s="976"/>
      <c r="C143" s="977"/>
      <c r="D143" s="964"/>
      <c r="E143" s="965"/>
      <c r="F143" s="968"/>
      <c r="G143" s="969"/>
      <c r="H143" s="343" t="s">
        <v>1732</v>
      </c>
      <c r="I143" s="341"/>
      <c r="J143" s="345" t="s">
        <v>1733</v>
      </c>
      <c r="K143" s="577">
        <f>IF(E144=0,0,VLOOKUP(E144,RBRATES,2,0))</f>
        <v>0</v>
      </c>
      <c r="L143" s="343" t="s">
        <v>80</v>
      </c>
      <c r="M143" s="510">
        <f>$Z$18</f>
        <v>0</v>
      </c>
      <c r="N143" s="336"/>
      <c r="O143" s="299"/>
      <c r="P143" s="299"/>
      <c r="Q143" s="299"/>
      <c r="R143" s="299"/>
      <c r="S143" s="299"/>
      <c r="T143" s="299"/>
      <c r="U143" s="299"/>
      <c r="V143" s="498"/>
      <c r="W143" s="498"/>
      <c r="X143" s="498"/>
      <c r="Y143" s="498"/>
      <c r="Z143" s="498"/>
      <c r="AA143" s="498"/>
    </row>
    <row r="144" spans="1:27" ht="15" customHeight="1" thickTop="1" thickBot="1" x14ac:dyDescent="0.25">
      <c r="A144" s="286"/>
      <c r="B144" s="978"/>
      <c r="C144" s="979"/>
      <c r="D144" s="565" t="s">
        <v>1850</v>
      </c>
      <c r="E144" s="562">
        <f>INTAKE!C31</f>
        <v>0</v>
      </c>
      <c r="F144" s="342" t="s">
        <v>78</v>
      </c>
      <c r="G144" s="564" t="b">
        <f>IF(E144="HMO",$F$5,IF(E144="PPO",$H$5,IF(E144="CDHP",$J$5)))</f>
        <v>0</v>
      </c>
      <c r="H144" s="344" t="s">
        <v>82</v>
      </c>
      <c r="I144" s="341"/>
      <c r="J144" s="947"/>
      <c r="K144" s="948"/>
      <c r="L144" s="949"/>
      <c r="M144" s="950"/>
      <c r="N144" s="336"/>
      <c r="O144" s="299"/>
      <c r="P144" s="299"/>
      <c r="Q144" s="299"/>
      <c r="R144" s="299"/>
      <c r="S144" s="299"/>
      <c r="T144" s="299"/>
      <c r="U144" s="299"/>
      <c r="V144" s="498"/>
      <c r="W144" s="498"/>
      <c r="X144" s="498"/>
      <c r="Y144" s="498"/>
      <c r="Z144" s="498"/>
      <c r="AA144" s="498"/>
    </row>
    <row r="145" spans="1:27" ht="15" customHeight="1" thickTop="1" x14ac:dyDescent="0.2">
      <c r="A145" s="286"/>
      <c r="B145" s="983" t="s">
        <v>32</v>
      </c>
      <c r="C145" s="984"/>
      <c r="D145" s="953">
        <f>INTAKE!D$31</f>
        <v>0</v>
      </c>
      <c r="E145" s="954"/>
      <c r="F145" s="955"/>
      <c r="G145" s="956"/>
      <c r="H145" s="917" t="e">
        <f>VLOOKUP(I143,[3]PLANS!$A$1:$H$107,2,FALSE)</f>
        <v>#N/A</v>
      </c>
      <c r="I145" s="958"/>
      <c r="J145" s="919" t="e">
        <f t="shared" ref="J145:J151" si="36">H145</f>
        <v>#N/A</v>
      </c>
      <c r="K145" s="920"/>
      <c r="L145" s="921" t="e">
        <f t="shared" ref="L145:L151" si="37">H145</f>
        <v>#N/A</v>
      </c>
      <c r="M145" s="918"/>
      <c r="N145" s="336"/>
      <c r="O145" s="299"/>
      <c r="P145" s="299"/>
      <c r="Q145" s="299"/>
      <c r="R145" s="299"/>
      <c r="S145" s="299"/>
      <c r="T145" s="299"/>
      <c r="U145" s="299"/>
      <c r="V145" s="498"/>
      <c r="W145" s="498"/>
      <c r="X145" s="498"/>
      <c r="Y145" s="498"/>
      <c r="Z145" s="498"/>
      <c r="AA145" s="498"/>
    </row>
    <row r="146" spans="1:27" ht="15" customHeight="1" x14ac:dyDescent="0.2">
      <c r="A146" s="286"/>
      <c r="B146" s="938" t="s">
        <v>36</v>
      </c>
      <c r="C146" s="939"/>
      <c r="D146" s="936">
        <f>INTAKE!N$31</f>
        <v>0</v>
      </c>
      <c r="E146" s="937"/>
      <c r="F146" s="955"/>
      <c r="G146" s="957"/>
      <c r="H146" s="917" t="e">
        <f>VLOOKUP(I143,[3]PLANS!$A$1:$H$107,3,FALSE)</f>
        <v>#N/A</v>
      </c>
      <c r="I146" s="918"/>
      <c r="J146" s="919" t="e">
        <f t="shared" si="36"/>
        <v>#N/A</v>
      </c>
      <c r="K146" s="920"/>
      <c r="L146" s="921" t="e">
        <f t="shared" si="37"/>
        <v>#N/A</v>
      </c>
      <c r="M146" s="918"/>
      <c r="N146" s="336"/>
      <c r="O146" s="299"/>
      <c r="P146" s="299"/>
      <c r="Q146" s="299"/>
      <c r="R146" s="299"/>
      <c r="S146" s="299"/>
      <c r="T146" s="299"/>
      <c r="U146" s="299"/>
      <c r="V146" s="498"/>
      <c r="W146" s="498"/>
      <c r="X146" s="498"/>
      <c r="Y146" s="498"/>
      <c r="Z146" s="498"/>
      <c r="AA146" s="498"/>
    </row>
    <row r="147" spans="1:27" ht="15" customHeight="1" x14ac:dyDescent="0.2">
      <c r="A147" s="286"/>
      <c r="B147" s="945" t="s">
        <v>37</v>
      </c>
      <c r="C147" s="946"/>
      <c r="D147" s="936">
        <f>INTAKE!O$31</f>
        <v>0</v>
      </c>
      <c r="E147" s="937"/>
      <c r="F147" s="955"/>
      <c r="G147" s="957"/>
      <c r="H147" s="917" t="e">
        <f>VLOOKUP(I143,[3]PLANS!$A$1:$H$107,4,FALSE)</f>
        <v>#N/A</v>
      </c>
      <c r="I147" s="918"/>
      <c r="J147" s="919" t="e">
        <f t="shared" si="36"/>
        <v>#N/A</v>
      </c>
      <c r="K147" s="920"/>
      <c r="L147" s="921" t="e">
        <f t="shared" si="37"/>
        <v>#N/A</v>
      </c>
      <c r="M147" s="918"/>
      <c r="N147" s="336"/>
      <c r="O147" s="299"/>
      <c r="P147" s="299"/>
      <c r="Q147" s="299"/>
      <c r="R147" s="299"/>
      <c r="S147" s="299"/>
      <c r="T147" s="299"/>
      <c r="U147" s="299"/>
      <c r="V147" s="498"/>
      <c r="W147" s="498"/>
      <c r="X147" s="498"/>
      <c r="Y147" s="498"/>
      <c r="Z147" s="498"/>
      <c r="AA147" s="498"/>
    </row>
    <row r="148" spans="1:27" ht="15" customHeight="1" x14ac:dyDescent="0.2">
      <c r="A148" s="286"/>
      <c r="B148" s="934" t="s">
        <v>38</v>
      </c>
      <c r="C148" s="935"/>
      <c r="D148" s="915">
        <f>INTAKE!P$31</f>
        <v>0</v>
      </c>
      <c r="E148" s="916"/>
      <c r="F148" s="955"/>
      <c r="G148" s="957"/>
      <c r="H148" s="917" t="e">
        <f>VLOOKUP(I143,[3]PLANS!$A$1:$H$107,5,FALSE)</f>
        <v>#N/A</v>
      </c>
      <c r="I148" s="918"/>
      <c r="J148" s="919" t="e">
        <f t="shared" si="36"/>
        <v>#N/A</v>
      </c>
      <c r="K148" s="920"/>
      <c r="L148" s="921" t="e">
        <f t="shared" si="37"/>
        <v>#N/A</v>
      </c>
      <c r="M148" s="918"/>
      <c r="N148" s="336"/>
      <c r="O148" s="299"/>
      <c r="P148" s="299"/>
      <c r="Q148" s="299"/>
      <c r="R148" s="299"/>
      <c r="S148" s="299"/>
      <c r="T148" s="299"/>
      <c r="U148" s="299"/>
      <c r="V148" s="498"/>
      <c r="W148" s="498"/>
      <c r="X148" s="498"/>
      <c r="Y148" s="498"/>
      <c r="Z148" s="498"/>
      <c r="AA148" s="498"/>
    </row>
    <row r="149" spans="1:27" ht="15" customHeight="1" x14ac:dyDescent="0.2">
      <c r="A149" s="286"/>
      <c r="B149" s="934" t="s">
        <v>39</v>
      </c>
      <c r="C149" s="935"/>
      <c r="D149" s="915">
        <f>INTAKE!Q$31</f>
        <v>0</v>
      </c>
      <c r="E149" s="916"/>
      <c r="F149" s="955"/>
      <c r="G149" s="957"/>
      <c r="H149" s="917" t="e">
        <f>VLOOKUP(I143,[3]PLANS!$A$1:$H$107,6,FALSE)</f>
        <v>#N/A</v>
      </c>
      <c r="I149" s="918"/>
      <c r="J149" s="919" t="e">
        <f t="shared" si="36"/>
        <v>#N/A</v>
      </c>
      <c r="K149" s="920"/>
      <c r="L149" s="921" t="e">
        <f t="shared" si="37"/>
        <v>#N/A</v>
      </c>
      <c r="M149" s="918"/>
      <c r="N149" s="336"/>
      <c r="O149" s="299"/>
      <c r="P149" s="299"/>
      <c r="Q149" s="299"/>
      <c r="R149" s="299"/>
      <c r="S149" s="299"/>
      <c r="T149" s="299"/>
      <c r="U149" s="299"/>
      <c r="V149" s="498"/>
      <c r="W149" s="498"/>
      <c r="X149" s="498"/>
      <c r="Y149" s="498"/>
      <c r="Z149" s="498"/>
      <c r="AA149" s="498"/>
    </row>
    <row r="150" spans="1:27" ht="15" customHeight="1" x14ac:dyDescent="0.2">
      <c r="A150" s="286"/>
      <c r="B150" s="934" t="s">
        <v>90</v>
      </c>
      <c r="C150" s="935"/>
      <c r="D150" s="936">
        <f>INTAKE!R$31</f>
        <v>0</v>
      </c>
      <c r="E150" s="937"/>
      <c r="F150" s="955"/>
      <c r="G150" s="957"/>
      <c r="H150" s="917" t="e">
        <f>VLOOKUP(I143,[3]PLANS!$A$1:$H$107,7,FALSE)</f>
        <v>#N/A</v>
      </c>
      <c r="I150" s="918"/>
      <c r="J150" s="919" t="e">
        <f t="shared" si="36"/>
        <v>#N/A</v>
      </c>
      <c r="K150" s="920"/>
      <c r="L150" s="921" t="e">
        <f t="shared" si="37"/>
        <v>#N/A</v>
      </c>
      <c r="M150" s="918"/>
      <c r="N150" s="336"/>
      <c r="O150" s="299"/>
      <c r="P150" s="299"/>
      <c r="Q150" s="299"/>
      <c r="R150" s="299"/>
      <c r="S150" s="299"/>
      <c r="T150" s="299"/>
      <c r="U150" s="299"/>
      <c r="V150" s="498"/>
      <c r="W150" s="498"/>
      <c r="X150" s="498"/>
      <c r="Y150" s="498"/>
      <c r="Z150" s="498"/>
      <c r="AA150" s="498"/>
    </row>
    <row r="151" spans="1:27" ht="15" customHeight="1" x14ac:dyDescent="0.2">
      <c r="A151" s="286"/>
      <c r="B151" s="938" t="s">
        <v>92</v>
      </c>
      <c r="C151" s="939"/>
      <c r="D151" s="936">
        <f>INTAKE!S$31</f>
        <v>0</v>
      </c>
      <c r="E151" s="937"/>
      <c r="F151" s="955"/>
      <c r="G151" s="957"/>
      <c r="H151" s="940" t="e">
        <f>VLOOKUP(I143,[3]PLANS!$A$1:$H$107,8,FALSE)</f>
        <v>#N/A</v>
      </c>
      <c r="I151" s="941"/>
      <c r="J151" s="942" t="e">
        <f t="shared" si="36"/>
        <v>#N/A</v>
      </c>
      <c r="K151" s="943"/>
      <c r="L151" s="944" t="e">
        <f t="shared" si="37"/>
        <v>#N/A</v>
      </c>
      <c r="M151" s="941"/>
      <c r="N151" s="336"/>
      <c r="O151" s="299"/>
      <c r="P151" s="299"/>
      <c r="Q151" s="299"/>
      <c r="R151" s="299"/>
      <c r="S151" s="299"/>
      <c r="T151" s="299"/>
      <c r="U151" s="299"/>
      <c r="V151" s="498"/>
      <c r="W151" s="498"/>
      <c r="X151" s="498"/>
      <c r="Y151" s="498"/>
      <c r="Z151" s="498"/>
      <c r="AA151" s="498"/>
    </row>
    <row r="152" spans="1:27" ht="15" customHeight="1" thickBot="1" x14ac:dyDescent="0.25">
      <c r="A152" s="286"/>
      <c r="B152" s="922" t="s">
        <v>93</v>
      </c>
      <c r="C152" s="923"/>
      <c r="D152" s="245" t="s">
        <v>29</v>
      </c>
      <c r="E152" s="246" t="s">
        <v>94</v>
      </c>
      <c r="F152" s="247" t="s">
        <v>29</v>
      </c>
      <c r="G152" s="248" t="s">
        <v>94</v>
      </c>
      <c r="H152" s="366" t="s">
        <v>29</v>
      </c>
      <c r="I152" s="249" t="s">
        <v>94</v>
      </c>
      <c r="J152" s="250" t="s">
        <v>29</v>
      </c>
      <c r="K152" s="251" t="s">
        <v>94</v>
      </c>
      <c r="L152" s="252" t="s">
        <v>29</v>
      </c>
      <c r="M152" s="249" t="s">
        <v>94</v>
      </c>
      <c r="N152" s="336"/>
      <c r="O152" s="299"/>
      <c r="P152" s="299"/>
      <c r="Q152" s="299"/>
      <c r="R152" s="299"/>
      <c r="S152" s="299"/>
      <c r="T152" s="299"/>
      <c r="U152" s="299"/>
      <c r="V152" s="498"/>
      <c r="W152" s="498"/>
      <c r="X152" s="498"/>
      <c r="Y152" s="498"/>
      <c r="Z152" s="498"/>
      <c r="AA152" s="498"/>
    </row>
    <row r="153" spans="1:27" ht="15" customHeight="1" thickBot="1" x14ac:dyDescent="0.25">
      <c r="A153" s="286"/>
      <c r="B153" s="699" t="s">
        <v>95</v>
      </c>
      <c r="C153" s="237">
        <f>INTAKE!I$32</f>
        <v>0</v>
      </c>
      <c r="D153" s="236">
        <f>INTAKE!I31</f>
        <v>0</v>
      </c>
      <c r="E153" s="234">
        <f>C153*D153</f>
        <v>0</v>
      </c>
      <c r="F153" s="233">
        <f>SUM(1+G144/1)*D153</f>
        <v>0</v>
      </c>
      <c r="G153" s="364">
        <f>C153*F153</f>
        <v>0</v>
      </c>
      <c r="H153" s="368">
        <v>0</v>
      </c>
      <c r="I153" s="365">
        <f>C153*H153</f>
        <v>0</v>
      </c>
      <c r="J153" s="230">
        <f>IF($U$20&lt;0%,0,SUM(H153)*(1-K143)*1)</f>
        <v>0</v>
      </c>
      <c r="K153" s="231">
        <f>IF(J153=0,0,C153*J153)</f>
        <v>0</v>
      </c>
      <c r="L153" s="244">
        <f>IF($Z$17=0,0,SUM(J153)*(1-M143)*1)</f>
        <v>0</v>
      </c>
      <c r="M153" s="242">
        <f>C153*L153</f>
        <v>0</v>
      </c>
      <c r="N153" s="336"/>
      <c r="O153" s="299"/>
      <c r="P153" s="299"/>
      <c r="Q153" s="299"/>
      <c r="R153" s="299"/>
      <c r="S153" s="299"/>
      <c r="T153" s="299"/>
      <c r="U153" s="299"/>
      <c r="V153" s="498"/>
      <c r="W153" s="498"/>
      <c r="X153" s="498"/>
      <c r="Y153" s="498"/>
      <c r="Z153" s="498"/>
      <c r="AA153" s="498"/>
    </row>
    <row r="154" spans="1:27" ht="15" customHeight="1" x14ac:dyDescent="0.2">
      <c r="A154" s="286"/>
      <c r="B154" s="699" t="s">
        <v>1914</v>
      </c>
      <c r="C154" s="237">
        <f>INTAKE!J$32</f>
        <v>0</v>
      </c>
      <c r="D154" s="236">
        <f>INTAKE!J31</f>
        <v>0</v>
      </c>
      <c r="E154" s="234">
        <f t="shared" ref="E154:E155" si="38">C154*D154</f>
        <v>0</v>
      </c>
      <c r="F154" s="233">
        <f>SUM(1+G144/1)*D154</f>
        <v>0</v>
      </c>
      <c r="G154" s="232">
        <f t="shared" ref="G154:G155" si="39">C154*F154</f>
        <v>0</v>
      </c>
      <c r="H154" s="367">
        <f>2.2*H153</f>
        <v>0</v>
      </c>
      <c r="I154" s="242">
        <f>C154*H154</f>
        <v>0</v>
      </c>
      <c r="J154" s="230">
        <f>IF($U$20&lt;0%,0,SUM(H154)*(1-K143)*1)</f>
        <v>0</v>
      </c>
      <c r="K154" s="231">
        <f t="shared" ref="K154:K155" si="40">IF(J154=0,0,C154*J154)</f>
        <v>0</v>
      </c>
      <c r="L154" s="244">
        <f>IF($Z$17=0,0,SUM(J154)*(1-M143)*1)</f>
        <v>0</v>
      </c>
      <c r="M154" s="242">
        <f>C154*L154</f>
        <v>0</v>
      </c>
      <c r="N154" s="336"/>
      <c r="O154" s="299"/>
      <c r="P154" s="299"/>
      <c r="Q154" s="299"/>
      <c r="R154" s="299"/>
      <c r="S154" s="299"/>
      <c r="T154" s="299"/>
      <c r="U154" s="299"/>
      <c r="V154" s="498"/>
      <c r="W154" s="498"/>
      <c r="X154" s="498"/>
      <c r="Y154" s="498"/>
      <c r="Z154" s="498"/>
      <c r="AA154" s="498"/>
    </row>
    <row r="155" spans="1:27" ht="15" customHeight="1" x14ac:dyDescent="0.2">
      <c r="A155" s="286"/>
      <c r="B155" s="699" t="s">
        <v>1915</v>
      </c>
      <c r="C155" s="237">
        <f>INTAKE!K$32</f>
        <v>0</v>
      </c>
      <c r="D155" s="236">
        <f>INTAKE!K31</f>
        <v>0</v>
      </c>
      <c r="E155" s="234">
        <f t="shared" si="38"/>
        <v>0</v>
      </c>
      <c r="F155" s="233">
        <f>SUM(1+G144/1)*D155</f>
        <v>0</v>
      </c>
      <c r="G155" s="232">
        <f t="shared" si="39"/>
        <v>0</v>
      </c>
      <c r="H155" s="243">
        <f>1.8*H153</f>
        <v>0</v>
      </c>
      <c r="I155" s="242">
        <f>C155*H155</f>
        <v>0</v>
      </c>
      <c r="J155" s="230">
        <f>IF($U$20&lt;0%,0,SUM(H155)*(1-K143)*1)</f>
        <v>0</v>
      </c>
      <c r="K155" s="231">
        <f t="shared" si="40"/>
        <v>0</v>
      </c>
      <c r="L155" s="244">
        <f>IF($Z$17=0,0,SUM(J155)*(1-M143)*1)</f>
        <v>0</v>
      </c>
      <c r="M155" s="242">
        <f>C155*L155</f>
        <v>0</v>
      </c>
      <c r="N155" s="336"/>
      <c r="O155" s="299"/>
      <c r="P155" s="299"/>
      <c r="Q155" s="299"/>
      <c r="R155" s="299"/>
      <c r="S155" s="299"/>
      <c r="T155" s="299"/>
      <c r="U155" s="299"/>
      <c r="V155" s="498"/>
      <c r="W155" s="498"/>
      <c r="X155" s="498"/>
      <c r="Y155" s="498"/>
      <c r="Z155" s="498"/>
      <c r="AA155" s="498"/>
    </row>
    <row r="156" spans="1:27" ht="15" customHeight="1" x14ac:dyDescent="0.2">
      <c r="A156" s="286"/>
      <c r="B156" s="699"/>
      <c r="C156" s="237">
        <f>INTAKE!L$32</f>
        <v>0</v>
      </c>
      <c r="D156" s="694"/>
      <c r="E156" s="695"/>
      <c r="F156" s="694"/>
      <c r="G156" s="695"/>
      <c r="H156" s="694"/>
      <c r="I156" s="695"/>
      <c r="J156" s="694"/>
      <c r="K156" s="695"/>
      <c r="L156" s="694"/>
      <c r="M156" s="695"/>
      <c r="N156" s="336"/>
      <c r="O156" s="299"/>
      <c r="P156" s="299"/>
      <c r="Q156" s="299"/>
      <c r="R156" s="299"/>
      <c r="S156" s="299"/>
      <c r="T156" s="299"/>
      <c r="U156" s="299"/>
      <c r="V156" s="498"/>
      <c r="W156" s="498"/>
      <c r="X156" s="498"/>
      <c r="Y156" s="498"/>
      <c r="Z156" s="498"/>
      <c r="AA156" s="498"/>
    </row>
    <row r="157" spans="1:27" ht="15" customHeight="1" x14ac:dyDescent="0.2">
      <c r="A157" s="286"/>
      <c r="B157" s="924"/>
      <c r="C157" s="925"/>
      <c r="D157" s="358" t="s">
        <v>1734</v>
      </c>
      <c r="E157" s="356">
        <f>SUM(E153:E156)</f>
        <v>0</v>
      </c>
      <c r="F157" s="362" t="s">
        <v>1734</v>
      </c>
      <c r="G157" s="360">
        <f>SUM(G153:G156)</f>
        <v>0</v>
      </c>
      <c r="H157" s="346" t="s">
        <v>1734</v>
      </c>
      <c r="I157" s="347">
        <f>SUM(I153:I156)</f>
        <v>0</v>
      </c>
      <c r="J157" s="350" t="s">
        <v>1734</v>
      </c>
      <c r="K157" s="351">
        <f>IF($M$6&lt;0%=0,0,SUM(K153:K156))</f>
        <v>0</v>
      </c>
      <c r="L157" s="352" t="s">
        <v>1734</v>
      </c>
      <c r="M157" s="347">
        <f>SUM(M153:M156)</f>
        <v>0</v>
      </c>
      <c r="N157" s="336"/>
      <c r="O157" s="299"/>
      <c r="P157" s="299"/>
      <c r="Q157" s="299"/>
      <c r="R157" s="299"/>
      <c r="S157" s="299"/>
      <c r="T157" s="299"/>
      <c r="U157" s="299"/>
      <c r="V157" s="498"/>
      <c r="W157" s="498"/>
      <c r="X157" s="498"/>
      <c r="Y157" s="498"/>
      <c r="Z157" s="498"/>
      <c r="AA157" s="498"/>
    </row>
    <row r="158" spans="1:27" ht="15" customHeight="1" x14ac:dyDescent="0.2">
      <c r="A158" s="286"/>
      <c r="B158" s="926"/>
      <c r="C158" s="927"/>
      <c r="D158" s="358" t="s">
        <v>1767</v>
      </c>
      <c r="E158" s="359">
        <f>E157*12</f>
        <v>0</v>
      </c>
      <c r="F158" s="362" t="s">
        <v>1767</v>
      </c>
      <c r="G158" s="363">
        <f>G157*12</f>
        <v>0</v>
      </c>
      <c r="H158" s="348" t="s">
        <v>1767</v>
      </c>
      <c r="I158" s="349">
        <f>I157*12</f>
        <v>0</v>
      </c>
      <c r="J158" s="353" t="s">
        <v>1767</v>
      </c>
      <c r="K158" s="354">
        <f>K157*12</f>
        <v>0</v>
      </c>
      <c r="L158" s="355" t="s">
        <v>1767</v>
      </c>
      <c r="M158" s="349">
        <f>M157*12</f>
        <v>0</v>
      </c>
      <c r="N158" s="336"/>
      <c r="O158" s="299"/>
      <c r="P158" s="299"/>
      <c r="Q158" s="299"/>
      <c r="R158" s="299"/>
      <c r="S158" s="299"/>
      <c r="T158" s="299"/>
      <c r="U158" s="299"/>
      <c r="V158" s="498"/>
      <c r="W158" s="498"/>
      <c r="X158" s="498"/>
      <c r="Y158" s="498"/>
      <c r="Z158" s="498"/>
      <c r="AA158" s="498"/>
    </row>
    <row r="159" spans="1:27" ht="15" customHeight="1" thickBot="1" x14ac:dyDescent="0.25">
      <c r="A159" s="286"/>
      <c r="B159" s="928"/>
      <c r="C159" s="929"/>
      <c r="D159" s="930"/>
      <c r="E159" s="931"/>
      <c r="F159" s="932"/>
      <c r="G159" s="933"/>
      <c r="H159" s="255" t="s">
        <v>1731</v>
      </c>
      <c r="I159" s="256" t="str">
        <f>IF(I157&lt;1,"",(E158-I158)/E158*-1)</f>
        <v/>
      </c>
      <c r="J159" s="257" t="s">
        <v>1731</v>
      </c>
      <c r="K159" s="258">
        <f>IF(K158=0,0,(E158-K158)/E158*-1)</f>
        <v>0</v>
      </c>
      <c r="L159" s="259" t="s">
        <v>1731</v>
      </c>
      <c r="M159" s="256">
        <f>IF(I157=0,0,(E158-M158)/E158*-1)</f>
        <v>0</v>
      </c>
      <c r="N159" s="336"/>
      <c r="O159" s="299"/>
      <c r="P159" s="299"/>
      <c r="Q159" s="299"/>
      <c r="R159" s="299"/>
      <c r="S159" s="299"/>
      <c r="T159" s="299"/>
      <c r="U159" s="299"/>
      <c r="V159" s="498"/>
      <c r="W159" s="498"/>
      <c r="X159" s="498"/>
      <c r="Y159" s="498"/>
      <c r="Z159" s="498"/>
      <c r="AA159" s="498"/>
    </row>
    <row r="160" spans="1:27" ht="15" customHeight="1" thickTop="1" thickBot="1" x14ac:dyDescent="0.25">
      <c r="A160" s="286"/>
      <c r="B160" s="974" t="s">
        <v>121</v>
      </c>
      <c r="C160" s="975"/>
      <c r="D160" s="980" t="s">
        <v>68</v>
      </c>
      <c r="E160" s="981"/>
      <c r="F160" s="981"/>
      <c r="G160" s="982"/>
      <c r="H160" s="959" t="s">
        <v>69</v>
      </c>
      <c r="I160" s="960"/>
      <c r="J160" s="960"/>
      <c r="K160" s="960"/>
      <c r="L160" s="960"/>
      <c r="M160" s="961"/>
      <c r="N160" s="336"/>
      <c r="O160" s="299"/>
      <c r="P160" s="299"/>
      <c r="Q160" s="299"/>
      <c r="R160" s="299"/>
      <c r="S160" s="299"/>
      <c r="T160" s="299"/>
      <c r="U160" s="299"/>
      <c r="V160" s="498"/>
      <c r="W160" s="498"/>
      <c r="X160" s="498"/>
      <c r="Y160" s="498"/>
      <c r="Z160" s="498"/>
      <c r="AA160" s="498"/>
    </row>
    <row r="161" spans="1:27" ht="15" customHeight="1" thickTop="1" thickBot="1" x14ac:dyDescent="0.25">
      <c r="A161" s="286"/>
      <c r="B161" s="976"/>
      <c r="C161" s="977"/>
      <c r="D161" s="962" t="s">
        <v>74</v>
      </c>
      <c r="E161" s="963"/>
      <c r="F161" s="966" t="s">
        <v>75</v>
      </c>
      <c r="G161" s="967"/>
      <c r="H161" s="970" t="s">
        <v>76</v>
      </c>
      <c r="I161" s="971"/>
      <c r="J161" s="972" t="s">
        <v>1735</v>
      </c>
      <c r="K161" s="973"/>
      <c r="L161" s="970" t="s">
        <v>1736</v>
      </c>
      <c r="M161" s="971"/>
      <c r="N161" s="336"/>
      <c r="O161" s="299"/>
      <c r="P161" s="299"/>
      <c r="Q161" s="299"/>
      <c r="R161" s="299"/>
      <c r="S161" s="299"/>
      <c r="T161" s="299"/>
      <c r="U161" s="299"/>
      <c r="V161" s="498"/>
      <c r="W161" s="498"/>
      <c r="X161" s="498"/>
      <c r="Y161" s="498"/>
      <c r="Z161" s="498"/>
      <c r="AA161" s="498"/>
    </row>
    <row r="162" spans="1:27" ht="15" customHeight="1" thickTop="1" thickBot="1" x14ac:dyDescent="0.25">
      <c r="A162" s="286"/>
      <c r="B162" s="976"/>
      <c r="C162" s="977"/>
      <c r="D162" s="964"/>
      <c r="E162" s="965"/>
      <c r="F162" s="968"/>
      <c r="G162" s="969"/>
      <c r="H162" s="343" t="s">
        <v>1732</v>
      </c>
      <c r="I162" s="341"/>
      <c r="J162" s="345" t="s">
        <v>1733</v>
      </c>
      <c r="K162" s="577">
        <f>IF(E163=0,0,VLOOKUP(E163,RBRATES,2,0))</f>
        <v>0</v>
      </c>
      <c r="L162" s="343" t="s">
        <v>80</v>
      </c>
      <c r="M162" s="510">
        <f>$Z$18</f>
        <v>0</v>
      </c>
      <c r="N162" s="336"/>
      <c r="O162" s="299"/>
      <c r="P162" s="299"/>
      <c r="Q162" s="299"/>
      <c r="R162" s="299"/>
      <c r="S162" s="299"/>
      <c r="T162" s="299"/>
      <c r="U162" s="299"/>
      <c r="V162" s="498"/>
      <c r="W162" s="498"/>
      <c r="X162" s="498"/>
      <c r="Y162" s="498"/>
      <c r="Z162" s="498"/>
      <c r="AA162" s="498"/>
    </row>
    <row r="163" spans="1:27" ht="15" customHeight="1" thickTop="1" thickBot="1" x14ac:dyDescent="0.25">
      <c r="A163" s="286"/>
      <c r="B163" s="978"/>
      <c r="C163" s="979"/>
      <c r="D163" s="565" t="s">
        <v>1850</v>
      </c>
      <c r="E163" s="562">
        <f>INTAKE!C33</f>
        <v>0</v>
      </c>
      <c r="F163" s="342" t="s">
        <v>78</v>
      </c>
      <c r="G163" s="564" t="b">
        <f>IF(E163="HMO",$F$5,IF(E163="PPO",$H$5,IF(E163="CDHP",$J$5)))</f>
        <v>0</v>
      </c>
      <c r="H163" s="344" t="s">
        <v>82</v>
      </c>
      <c r="I163" s="341"/>
      <c r="J163" s="947"/>
      <c r="K163" s="948"/>
      <c r="L163" s="949"/>
      <c r="M163" s="950"/>
      <c r="N163" s="336"/>
      <c r="O163" s="299"/>
      <c r="P163" s="299"/>
      <c r="Q163" s="299"/>
      <c r="R163" s="299"/>
      <c r="S163" s="299"/>
      <c r="T163" s="299"/>
      <c r="U163" s="299"/>
      <c r="V163" s="498"/>
      <c r="W163" s="498"/>
      <c r="X163" s="498"/>
      <c r="Y163" s="498"/>
      <c r="Z163" s="498"/>
      <c r="AA163" s="498"/>
    </row>
    <row r="164" spans="1:27" ht="15" customHeight="1" thickTop="1" x14ac:dyDescent="0.2">
      <c r="A164" s="286"/>
      <c r="B164" s="951" t="s">
        <v>32</v>
      </c>
      <c r="C164" s="952"/>
      <c r="D164" s="953">
        <f>INTAKE!D$33</f>
        <v>0</v>
      </c>
      <c r="E164" s="954"/>
      <c r="F164" s="955"/>
      <c r="G164" s="956"/>
      <c r="H164" s="917" t="e">
        <f>VLOOKUP(I162,[3]PLANS!$A$1:$H$107,2,FALSE)</f>
        <v>#N/A</v>
      </c>
      <c r="I164" s="958"/>
      <c r="J164" s="919" t="e">
        <f t="shared" ref="J164:J170" si="41">H164</f>
        <v>#N/A</v>
      </c>
      <c r="K164" s="920"/>
      <c r="L164" s="921" t="e">
        <f t="shared" ref="L164:L170" si="42">H164</f>
        <v>#N/A</v>
      </c>
      <c r="M164" s="918"/>
      <c r="N164" s="336"/>
      <c r="O164" s="299"/>
      <c r="P164" s="299"/>
      <c r="Q164" s="299"/>
      <c r="R164" s="299"/>
      <c r="S164" s="299"/>
      <c r="T164" s="299"/>
      <c r="U164" s="299"/>
      <c r="V164" s="498"/>
      <c r="W164" s="498"/>
      <c r="X164" s="498"/>
      <c r="Y164" s="498"/>
      <c r="Z164" s="498"/>
      <c r="AA164" s="498"/>
    </row>
    <row r="165" spans="1:27" ht="15" customHeight="1" x14ac:dyDescent="0.2">
      <c r="A165" s="286"/>
      <c r="B165" s="938" t="s">
        <v>36</v>
      </c>
      <c r="C165" s="939"/>
      <c r="D165" s="936">
        <f>INTAKE!N$33</f>
        <v>0</v>
      </c>
      <c r="E165" s="937"/>
      <c r="F165" s="955"/>
      <c r="G165" s="957"/>
      <c r="H165" s="917" t="e">
        <f>VLOOKUP(I162,[3]PLANS!$A$1:$H$107,3,FALSE)</f>
        <v>#N/A</v>
      </c>
      <c r="I165" s="918"/>
      <c r="J165" s="919" t="e">
        <f t="shared" si="41"/>
        <v>#N/A</v>
      </c>
      <c r="K165" s="920"/>
      <c r="L165" s="921" t="e">
        <f t="shared" si="42"/>
        <v>#N/A</v>
      </c>
      <c r="M165" s="918"/>
      <c r="N165" s="336"/>
      <c r="O165" s="299"/>
      <c r="P165" s="299"/>
      <c r="Q165" s="299"/>
      <c r="R165" s="299"/>
      <c r="S165" s="299"/>
      <c r="T165" s="299"/>
      <c r="U165" s="299"/>
      <c r="V165" s="498"/>
      <c r="W165" s="498"/>
      <c r="X165" s="498"/>
      <c r="Y165" s="498"/>
      <c r="Z165" s="498"/>
      <c r="AA165" s="498"/>
    </row>
    <row r="166" spans="1:27" ht="15" customHeight="1" x14ac:dyDescent="0.2">
      <c r="A166" s="286"/>
      <c r="B166" s="945" t="s">
        <v>37</v>
      </c>
      <c r="C166" s="946"/>
      <c r="D166" s="936">
        <f>INTAKE!O$33</f>
        <v>0</v>
      </c>
      <c r="E166" s="937"/>
      <c r="F166" s="955"/>
      <c r="G166" s="957"/>
      <c r="H166" s="917" t="e">
        <f>VLOOKUP(I162,[3]PLANS!$A$1:$H$107,4,FALSE)</f>
        <v>#N/A</v>
      </c>
      <c r="I166" s="918"/>
      <c r="J166" s="919" t="e">
        <f t="shared" si="41"/>
        <v>#N/A</v>
      </c>
      <c r="K166" s="920"/>
      <c r="L166" s="921" t="e">
        <f t="shared" si="42"/>
        <v>#N/A</v>
      </c>
      <c r="M166" s="918"/>
      <c r="N166" s="336"/>
      <c r="O166" s="299"/>
      <c r="P166" s="299"/>
      <c r="Q166" s="299"/>
      <c r="R166" s="299"/>
      <c r="S166" s="299"/>
      <c r="T166" s="299"/>
      <c r="U166" s="299"/>
      <c r="V166" s="498"/>
      <c r="W166" s="498"/>
      <c r="X166" s="498"/>
      <c r="Y166" s="498"/>
      <c r="Z166" s="498"/>
      <c r="AA166" s="498"/>
    </row>
    <row r="167" spans="1:27" ht="15" customHeight="1" x14ac:dyDescent="0.2">
      <c r="A167" s="286"/>
      <c r="B167" s="934" t="s">
        <v>38</v>
      </c>
      <c r="C167" s="935"/>
      <c r="D167" s="915">
        <f>INTAKE!P$33</f>
        <v>0</v>
      </c>
      <c r="E167" s="916"/>
      <c r="F167" s="955"/>
      <c r="G167" s="957"/>
      <c r="H167" s="917" t="e">
        <f>VLOOKUP(I162,[3]PLANS!$A$1:$H$107,5,FALSE)</f>
        <v>#N/A</v>
      </c>
      <c r="I167" s="918"/>
      <c r="J167" s="919" t="e">
        <f t="shared" si="41"/>
        <v>#N/A</v>
      </c>
      <c r="K167" s="920"/>
      <c r="L167" s="921" t="e">
        <f t="shared" si="42"/>
        <v>#N/A</v>
      </c>
      <c r="M167" s="918"/>
      <c r="N167" s="336"/>
      <c r="O167" s="299"/>
      <c r="P167" s="299"/>
      <c r="Q167" s="299"/>
      <c r="R167" s="299"/>
      <c r="S167" s="299"/>
      <c r="T167" s="299"/>
      <c r="U167" s="299"/>
      <c r="V167" s="498"/>
      <c r="W167" s="498"/>
      <c r="X167" s="498"/>
      <c r="Y167" s="498"/>
      <c r="Z167" s="498"/>
      <c r="AA167" s="498"/>
    </row>
    <row r="168" spans="1:27" ht="15" customHeight="1" x14ac:dyDescent="0.2">
      <c r="A168" s="286"/>
      <c r="B168" s="934" t="s">
        <v>39</v>
      </c>
      <c r="C168" s="935"/>
      <c r="D168" s="915">
        <f>INTAKE!Q$33</f>
        <v>0</v>
      </c>
      <c r="E168" s="916"/>
      <c r="F168" s="955"/>
      <c r="G168" s="957"/>
      <c r="H168" s="917" t="e">
        <f>VLOOKUP(I162,[3]PLANS!$A$1:$H$107,6,FALSE)</f>
        <v>#N/A</v>
      </c>
      <c r="I168" s="918"/>
      <c r="J168" s="919" t="e">
        <f t="shared" si="41"/>
        <v>#N/A</v>
      </c>
      <c r="K168" s="920"/>
      <c r="L168" s="921" t="e">
        <f t="shared" si="42"/>
        <v>#N/A</v>
      </c>
      <c r="M168" s="918"/>
      <c r="N168" s="336"/>
      <c r="O168" s="299"/>
      <c r="P168" s="299"/>
      <c r="Q168" s="299"/>
      <c r="R168" s="299"/>
      <c r="S168" s="299"/>
      <c r="T168" s="299"/>
      <c r="U168" s="299"/>
      <c r="V168" s="498"/>
      <c r="W168" s="498"/>
      <c r="X168" s="498"/>
      <c r="Y168" s="498"/>
      <c r="Z168" s="498"/>
      <c r="AA168" s="498"/>
    </row>
    <row r="169" spans="1:27" ht="15" customHeight="1" x14ac:dyDescent="0.2">
      <c r="A169" s="286"/>
      <c r="B169" s="934" t="s">
        <v>90</v>
      </c>
      <c r="C169" s="935"/>
      <c r="D169" s="936">
        <f>INTAKE!R$33</f>
        <v>0</v>
      </c>
      <c r="E169" s="937"/>
      <c r="F169" s="955"/>
      <c r="G169" s="957"/>
      <c r="H169" s="917" t="e">
        <f>VLOOKUP(I162,[3]PLANS!$A$1:$H$107,7,FALSE)</f>
        <v>#N/A</v>
      </c>
      <c r="I169" s="918"/>
      <c r="J169" s="919" t="e">
        <f t="shared" si="41"/>
        <v>#N/A</v>
      </c>
      <c r="K169" s="920"/>
      <c r="L169" s="921" t="e">
        <f t="shared" si="42"/>
        <v>#N/A</v>
      </c>
      <c r="M169" s="918"/>
      <c r="N169" s="336"/>
      <c r="O169" s="299"/>
      <c r="P169" s="299"/>
      <c r="Q169" s="299"/>
      <c r="R169" s="299"/>
      <c r="S169" s="299"/>
      <c r="T169" s="299"/>
      <c r="U169" s="299"/>
      <c r="V169" s="498"/>
      <c r="W169" s="498"/>
      <c r="X169" s="498"/>
      <c r="Y169" s="498"/>
      <c r="Z169" s="498"/>
      <c r="AA169" s="498"/>
    </row>
    <row r="170" spans="1:27" ht="15" customHeight="1" x14ac:dyDescent="0.2">
      <c r="A170" s="286"/>
      <c r="B170" s="938" t="s">
        <v>92</v>
      </c>
      <c r="C170" s="939"/>
      <c r="D170" s="936">
        <f>INTAKE!S$33</f>
        <v>0</v>
      </c>
      <c r="E170" s="937"/>
      <c r="F170" s="955"/>
      <c r="G170" s="957"/>
      <c r="H170" s="940" t="e">
        <f>VLOOKUP(I162,[3]PLANS!$A$1:$H$107,8,FALSE)</f>
        <v>#N/A</v>
      </c>
      <c r="I170" s="941"/>
      <c r="J170" s="942" t="e">
        <f t="shared" si="41"/>
        <v>#N/A</v>
      </c>
      <c r="K170" s="943"/>
      <c r="L170" s="944" t="e">
        <f t="shared" si="42"/>
        <v>#N/A</v>
      </c>
      <c r="M170" s="941"/>
      <c r="N170" s="336"/>
      <c r="O170" s="299"/>
      <c r="P170" s="299"/>
      <c r="Q170" s="299"/>
      <c r="R170" s="299"/>
      <c r="S170" s="299"/>
      <c r="T170" s="299"/>
      <c r="U170" s="299"/>
      <c r="V170" s="498"/>
      <c r="W170" s="498"/>
      <c r="X170" s="498"/>
      <c r="Y170" s="498"/>
      <c r="Z170" s="498"/>
      <c r="AA170" s="498"/>
    </row>
    <row r="171" spans="1:27" ht="15" customHeight="1" thickBot="1" x14ac:dyDescent="0.25">
      <c r="A171" s="286"/>
      <c r="B171" s="922" t="s">
        <v>93</v>
      </c>
      <c r="C171" s="923"/>
      <c r="D171" s="245" t="s">
        <v>29</v>
      </c>
      <c r="E171" s="246" t="s">
        <v>94</v>
      </c>
      <c r="F171" s="247" t="s">
        <v>29</v>
      </c>
      <c r="G171" s="248" t="s">
        <v>94</v>
      </c>
      <c r="H171" s="366" t="s">
        <v>29</v>
      </c>
      <c r="I171" s="249" t="s">
        <v>94</v>
      </c>
      <c r="J171" s="250" t="s">
        <v>29</v>
      </c>
      <c r="K171" s="251" t="s">
        <v>94</v>
      </c>
      <c r="L171" s="252" t="s">
        <v>29</v>
      </c>
      <c r="M171" s="249" t="s">
        <v>94</v>
      </c>
      <c r="N171" s="336"/>
      <c r="O171" s="299"/>
      <c r="P171" s="299"/>
      <c r="Q171" s="299"/>
      <c r="R171" s="299"/>
      <c r="S171" s="299"/>
      <c r="T171" s="299"/>
      <c r="U171" s="299"/>
      <c r="V171" s="498"/>
      <c r="W171" s="498"/>
      <c r="X171" s="498"/>
      <c r="Y171" s="498"/>
      <c r="Z171" s="498"/>
      <c r="AA171" s="498"/>
    </row>
    <row r="172" spans="1:27" ht="15" customHeight="1" thickBot="1" x14ac:dyDescent="0.25">
      <c r="A172" s="286"/>
      <c r="B172" s="699" t="s">
        <v>95</v>
      </c>
      <c r="C172" s="237">
        <f>INTAKE!I$34</f>
        <v>0</v>
      </c>
      <c r="D172" s="236">
        <f>INTAKE!I33</f>
        <v>0</v>
      </c>
      <c r="E172" s="234">
        <f>C172*D172</f>
        <v>0</v>
      </c>
      <c r="F172" s="233">
        <f>SUM(1+G163/1)*D172</f>
        <v>0</v>
      </c>
      <c r="G172" s="364">
        <f>C172*F172</f>
        <v>0</v>
      </c>
      <c r="H172" s="368">
        <v>0</v>
      </c>
      <c r="I172" s="365">
        <f>C172*H172</f>
        <v>0</v>
      </c>
      <c r="J172" s="230">
        <f>IF($U$20&lt;0%,0,SUM(H172)*(1-K162)*1)</f>
        <v>0</v>
      </c>
      <c r="K172" s="231">
        <f>IF(J172=0,0,C172*J172)</f>
        <v>0</v>
      </c>
      <c r="L172" s="244">
        <f>IF($Z$17=0,0,SUM(J172)*(1-M162)*1)</f>
        <v>0</v>
      </c>
      <c r="M172" s="242">
        <f>C172*L172</f>
        <v>0</v>
      </c>
      <c r="N172" s="336"/>
      <c r="O172" s="299"/>
      <c r="P172" s="299"/>
      <c r="Q172" s="299"/>
      <c r="R172" s="299"/>
      <c r="S172" s="299"/>
      <c r="T172" s="299"/>
      <c r="U172" s="299"/>
      <c r="V172" s="498"/>
      <c r="W172" s="498"/>
      <c r="X172" s="498"/>
      <c r="Y172" s="498"/>
      <c r="Z172" s="498"/>
      <c r="AA172" s="498"/>
    </row>
    <row r="173" spans="1:27" ht="15" customHeight="1" x14ac:dyDescent="0.2">
      <c r="A173" s="286"/>
      <c r="B173" s="699" t="s">
        <v>1914</v>
      </c>
      <c r="C173" s="237">
        <f>INTAKE!J$34</f>
        <v>0</v>
      </c>
      <c r="D173" s="236">
        <f>INTAKE!J33</f>
        <v>0</v>
      </c>
      <c r="E173" s="234">
        <f t="shared" ref="E173:E174" si="43">C173*D173</f>
        <v>0</v>
      </c>
      <c r="F173" s="233">
        <f>SUM(1+G163/1)*D173</f>
        <v>0</v>
      </c>
      <c r="G173" s="232">
        <f t="shared" ref="G173:G174" si="44">C173*F173</f>
        <v>0</v>
      </c>
      <c r="H173" s="367">
        <f>2.2*H172</f>
        <v>0</v>
      </c>
      <c r="I173" s="242">
        <f>C173*H173</f>
        <v>0</v>
      </c>
      <c r="J173" s="230">
        <f>IF($U$20&lt;0%,0,SUM(H173)*(1-K162)*1)</f>
        <v>0</v>
      </c>
      <c r="K173" s="231">
        <f t="shared" ref="K173:K174" si="45">IF(J173=0,0,C173*J173)</f>
        <v>0</v>
      </c>
      <c r="L173" s="244">
        <f>IF($Z$17=0,0,SUM(J173)*(1-M162)*1)</f>
        <v>0</v>
      </c>
      <c r="M173" s="242">
        <f>C173*L173</f>
        <v>0</v>
      </c>
      <c r="N173" s="336"/>
      <c r="O173" s="299"/>
      <c r="P173" s="299"/>
      <c r="Q173" s="299"/>
      <c r="R173" s="299"/>
      <c r="S173" s="299"/>
      <c r="T173" s="299"/>
      <c r="U173" s="299"/>
      <c r="V173" s="498"/>
      <c r="W173" s="498"/>
      <c r="X173" s="498"/>
      <c r="Y173" s="498"/>
      <c r="Z173" s="498"/>
      <c r="AA173" s="498"/>
    </row>
    <row r="174" spans="1:27" ht="15" customHeight="1" x14ac:dyDescent="0.2">
      <c r="A174" s="286"/>
      <c r="B174" s="699" t="s">
        <v>1915</v>
      </c>
      <c r="C174" s="237">
        <f>INTAKE!K$34</f>
        <v>0</v>
      </c>
      <c r="D174" s="236">
        <f>INTAKE!K33</f>
        <v>0</v>
      </c>
      <c r="E174" s="234">
        <f t="shared" si="43"/>
        <v>0</v>
      </c>
      <c r="F174" s="233">
        <f>SUM(1+G163/1)*D174</f>
        <v>0</v>
      </c>
      <c r="G174" s="232">
        <f t="shared" si="44"/>
        <v>0</v>
      </c>
      <c r="H174" s="243">
        <f>1.8*H172</f>
        <v>0</v>
      </c>
      <c r="I174" s="242">
        <f>C174*H174</f>
        <v>0</v>
      </c>
      <c r="J174" s="230">
        <f>IF($U$20&lt;0%,0,SUM(H174)*(1-K162)*1)</f>
        <v>0</v>
      </c>
      <c r="K174" s="231">
        <f t="shared" si="45"/>
        <v>0</v>
      </c>
      <c r="L174" s="244">
        <f>IF($Z$17=0,0,SUM(J174)*(1-M162)*1)</f>
        <v>0</v>
      </c>
      <c r="M174" s="242">
        <f>C174*L174</f>
        <v>0</v>
      </c>
      <c r="N174" s="336"/>
      <c r="O174" s="299"/>
      <c r="P174" s="299"/>
      <c r="Q174" s="299"/>
      <c r="R174" s="299"/>
      <c r="S174" s="299"/>
      <c r="T174" s="299"/>
      <c r="U174" s="299"/>
      <c r="V174" s="498"/>
      <c r="W174" s="498"/>
      <c r="X174" s="498"/>
      <c r="Y174" s="498"/>
      <c r="Z174" s="498"/>
      <c r="AA174" s="498"/>
    </row>
    <row r="175" spans="1:27" ht="15" customHeight="1" x14ac:dyDescent="0.2">
      <c r="A175" s="286"/>
      <c r="B175" s="699"/>
      <c r="C175" s="237">
        <f>INTAKE!L$34</f>
        <v>0</v>
      </c>
      <c r="D175" s="694"/>
      <c r="E175" s="695"/>
      <c r="F175" s="694"/>
      <c r="G175" s="695"/>
      <c r="H175" s="694"/>
      <c r="I175" s="695"/>
      <c r="J175" s="694"/>
      <c r="K175" s="695"/>
      <c r="L175" s="694"/>
      <c r="M175" s="695"/>
      <c r="N175" s="336"/>
      <c r="O175" s="299"/>
      <c r="P175" s="299"/>
      <c r="Q175" s="299"/>
      <c r="R175" s="299"/>
      <c r="S175" s="299"/>
      <c r="T175" s="299"/>
      <c r="U175" s="299"/>
      <c r="V175" s="498"/>
      <c r="W175" s="498"/>
      <c r="X175" s="498"/>
      <c r="Y175" s="498"/>
      <c r="Z175" s="498"/>
      <c r="AA175" s="498"/>
    </row>
    <row r="176" spans="1:27" ht="15" customHeight="1" x14ac:dyDescent="0.2">
      <c r="A176" s="286"/>
      <c r="B176" s="924"/>
      <c r="C176" s="925"/>
      <c r="D176" s="358" t="s">
        <v>1734</v>
      </c>
      <c r="E176" s="356">
        <f>SUM(E172:E175)</f>
        <v>0</v>
      </c>
      <c r="F176" s="362" t="s">
        <v>1734</v>
      </c>
      <c r="G176" s="360">
        <f>SUM(G172:G175)</f>
        <v>0</v>
      </c>
      <c r="H176" s="346" t="s">
        <v>1734</v>
      </c>
      <c r="I176" s="347">
        <f>SUM(I172:I175)</f>
        <v>0</v>
      </c>
      <c r="J176" s="350" t="s">
        <v>1734</v>
      </c>
      <c r="K176" s="351">
        <f>IF($M$6&lt;0%=0,0,SUM(K172:K175))</f>
        <v>0</v>
      </c>
      <c r="L176" s="352" t="s">
        <v>1734</v>
      </c>
      <c r="M176" s="347">
        <f>SUM(M172:M175)</f>
        <v>0</v>
      </c>
      <c r="N176" s="336"/>
      <c r="O176" s="299"/>
      <c r="P176" s="299"/>
      <c r="Q176" s="299"/>
      <c r="R176" s="299"/>
      <c r="S176" s="299"/>
      <c r="T176" s="299"/>
      <c r="U176" s="299"/>
      <c r="V176" s="498"/>
      <c r="W176" s="498"/>
      <c r="X176" s="498"/>
      <c r="Y176" s="498"/>
      <c r="Z176" s="498"/>
      <c r="AA176" s="498"/>
    </row>
    <row r="177" spans="1:27" ht="15" customHeight="1" x14ac:dyDescent="0.2">
      <c r="A177" s="286"/>
      <c r="B177" s="926"/>
      <c r="C177" s="927"/>
      <c r="D177" s="358" t="s">
        <v>1767</v>
      </c>
      <c r="E177" s="359">
        <f>E176*12</f>
        <v>0</v>
      </c>
      <c r="F177" s="362" t="s">
        <v>1767</v>
      </c>
      <c r="G177" s="363">
        <f>G176*12</f>
        <v>0</v>
      </c>
      <c r="H177" s="348" t="s">
        <v>1767</v>
      </c>
      <c r="I177" s="349">
        <f>I176*12</f>
        <v>0</v>
      </c>
      <c r="J177" s="353" t="s">
        <v>1767</v>
      </c>
      <c r="K177" s="354">
        <f>K176*12</f>
        <v>0</v>
      </c>
      <c r="L177" s="355" t="s">
        <v>1767</v>
      </c>
      <c r="M177" s="349">
        <f>M176*12</f>
        <v>0</v>
      </c>
      <c r="N177" s="336"/>
      <c r="O177" s="299"/>
      <c r="P177" s="299"/>
      <c r="Q177" s="299"/>
      <c r="R177" s="299"/>
      <c r="S177" s="299"/>
      <c r="T177" s="299"/>
      <c r="U177" s="299"/>
      <c r="V177" s="498"/>
      <c r="W177" s="498"/>
      <c r="X177" s="498"/>
      <c r="Y177" s="498"/>
      <c r="Z177" s="498"/>
      <c r="AA177" s="498"/>
    </row>
    <row r="178" spans="1:27" ht="15" customHeight="1" thickBot="1" x14ac:dyDescent="0.25">
      <c r="A178" s="286"/>
      <c r="B178" s="928"/>
      <c r="C178" s="929"/>
      <c r="D178" s="930"/>
      <c r="E178" s="931"/>
      <c r="F178" s="932"/>
      <c r="G178" s="933"/>
      <c r="H178" s="255" t="s">
        <v>1731</v>
      </c>
      <c r="I178" s="256" t="str">
        <f>IF(I176&lt;1,"",(E177-I177)/E177*-1)</f>
        <v/>
      </c>
      <c r="J178" s="257" t="s">
        <v>1731</v>
      </c>
      <c r="K178" s="258">
        <f>IF(K177=0,0,(E177-K177)/E177*-1)</f>
        <v>0</v>
      </c>
      <c r="L178" s="259" t="s">
        <v>1731</v>
      </c>
      <c r="M178" s="256">
        <f>IF(I176=0,0,(E177-M177)/E177*-1)</f>
        <v>0</v>
      </c>
      <c r="N178" s="336"/>
      <c r="O178" s="299"/>
      <c r="P178" s="299"/>
      <c r="Q178" s="299"/>
      <c r="R178" s="299"/>
      <c r="S178" s="299"/>
      <c r="T178" s="299"/>
      <c r="U178" s="299"/>
      <c r="V178" s="498"/>
      <c r="W178" s="498"/>
      <c r="X178" s="498"/>
      <c r="Y178" s="498"/>
      <c r="Z178" s="498"/>
      <c r="AA178" s="498"/>
    </row>
    <row r="179" spans="1:27" ht="15" customHeight="1" thickTop="1" thickBot="1" x14ac:dyDescent="0.25">
      <c r="A179" s="286"/>
      <c r="B179" s="974" t="s">
        <v>122</v>
      </c>
      <c r="C179" s="975"/>
      <c r="D179" s="980" t="s">
        <v>68</v>
      </c>
      <c r="E179" s="981"/>
      <c r="F179" s="981"/>
      <c r="G179" s="982"/>
      <c r="H179" s="959" t="s">
        <v>69</v>
      </c>
      <c r="I179" s="960"/>
      <c r="J179" s="960"/>
      <c r="K179" s="960"/>
      <c r="L179" s="960"/>
      <c r="M179" s="961"/>
      <c r="N179" s="336"/>
      <c r="O179" s="299"/>
      <c r="P179" s="299"/>
      <c r="Q179" s="299"/>
      <c r="R179" s="299"/>
      <c r="S179" s="299"/>
      <c r="T179" s="299"/>
      <c r="U179" s="299"/>
      <c r="V179" s="498"/>
      <c r="W179" s="498"/>
      <c r="X179" s="498"/>
      <c r="Y179" s="498"/>
      <c r="Z179" s="498"/>
      <c r="AA179" s="498"/>
    </row>
    <row r="180" spans="1:27" ht="15" customHeight="1" thickTop="1" thickBot="1" x14ac:dyDescent="0.25">
      <c r="A180" s="286"/>
      <c r="B180" s="976"/>
      <c r="C180" s="977"/>
      <c r="D180" s="962" t="s">
        <v>74</v>
      </c>
      <c r="E180" s="963"/>
      <c r="F180" s="966" t="s">
        <v>75</v>
      </c>
      <c r="G180" s="967"/>
      <c r="H180" s="970" t="s">
        <v>76</v>
      </c>
      <c r="I180" s="971"/>
      <c r="J180" s="972" t="s">
        <v>1735</v>
      </c>
      <c r="K180" s="973"/>
      <c r="L180" s="970" t="s">
        <v>1736</v>
      </c>
      <c r="M180" s="971"/>
      <c r="N180" s="336"/>
      <c r="O180" s="299"/>
      <c r="P180" s="299"/>
      <c r="Q180" s="299"/>
      <c r="R180" s="299"/>
      <c r="S180" s="299"/>
      <c r="T180" s="299"/>
      <c r="U180" s="299"/>
      <c r="V180" s="498"/>
      <c r="W180" s="498"/>
      <c r="X180" s="498"/>
      <c r="Y180" s="498"/>
      <c r="Z180" s="498"/>
      <c r="AA180" s="498"/>
    </row>
    <row r="181" spans="1:27" ht="15" customHeight="1" thickTop="1" thickBot="1" x14ac:dyDescent="0.25">
      <c r="A181" s="286"/>
      <c r="B181" s="976"/>
      <c r="C181" s="977"/>
      <c r="D181" s="964"/>
      <c r="E181" s="965"/>
      <c r="F181" s="968"/>
      <c r="G181" s="969"/>
      <c r="H181" s="343" t="s">
        <v>1732</v>
      </c>
      <c r="I181" s="341"/>
      <c r="J181" s="345" t="s">
        <v>1733</v>
      </c>
      <c r="K181" s="577">
        <f>IF(E182=0,0,VLOOKUP(E182,RBRATES,2,0))</f>
        <v>0</v>
      </c>
      <c r="L181" s="343" t="s">
        <v>80</v>
      </c>
      <c r="M181" s="510">
        <f>$Z$18</f>
        <v>0</v>
      </c>
      <c r="N181" s="336"/>
      <c r="O181" s="299"/>
      <c r="P181" s="299"/>
      <c r="Q181" s="299"/>
      <c r="R181" s="299"/>
      <c r="S181" s="299"/>
      <c r="T181" s="299"/>
      <c r="U181" s="299"/>
      <c r="V181" s="498"/>
      <c r="W181" s="498"/>
      <c r="X181" s="498"/>
      <c r="Y181" s="498"/>
      <c r="Z181" s="498"/>
      <c r="AA181" s="498"/>
    </row>
    <row r="182" spans="1:27" ht="15" customHeight="1" thickTop="1" thickBot="1" x14ac:dyDescent="0.25">
      <c r="A182" s="286"/>
      <c r="B182" s="978"/>
      <c r="C182" s="979"/>
      <c r="D182" s="565" t="s">
        <v>1850</v>
      </c>
      <c r="E182" s="562">
        <f>INTAKE!C35</f>
        <v>0</v>
      </c>
      <c r="F182" s="342" t="s">
        <v>78</v>
      </c>
      <c r="G182" s="564" t="b">
        <f>IF(E182="HMO",$F$5,IF(E182="PPO",$H$5,IF(E182="CDHP",$J$5)))</f>
        <v>0</v>
      </c>
      <c r="H182" s="344" t="s">
        <v>82</v>
      </c>
      <c r="I182" s="341"/>
      <c r="J182" s="947"/>
      <c r="K182" s="948"/>
      <c r="L182" s="949"/>
      <c r="M182" s="950"/>
      <c r="N182" s="336"/>
      <c r="O182" s="299"/>
      <c r="P182" s="299"/>
      <c r="Q182" s="299"/>
      <c r="R182" s="299"/>
      <c r="S182" s="299"/>
      <c r="T182" s="299"/>
      <c r="U182" s="299"/>
      <c r="V182" s="498"/>
      <c r="W182" s="498"/>
      <c r="X182" s="498"/>
      <c r="Y182" s="498"/>
      <c r="Z182" s="498"/>
      <c r="AA182" s="498"/>
    </row>
    <row r="183" spans="1:27" ht="15" customHeight="1" thickTop="1" x14ac:dyDescent="0.2">
      <c r="A183" s="286"/>
      <c r="B183" s="951" t="s">
        <v>32</v>
      </c>
      <c r="C183" s="952"/>
      <c r="D183" s="953">
        <f>INTAKE!D$35</f>
        <v>0</v>
      </c>
      <c r="E183" s="954"/>
      <c r="F183" s="955"/>
      <c r="G183" s="956"/>
      <c r="H183" s="917" t="e">
        <f>VLOOKUP(I181,[3]PLANS!$A$1:$H$107,2,FALSE)</f>
        <v>#N/A</v>
      </c>
      <c r="I183" s="958"/>
      <c r="J183" s="919" t="e">
        <f t="shared" ref="J183:J189" si="46">H183</f>
        <v>#N/A</v>
      </c>
      <c r="K183" s="920"/>
      <c r="L183" s="921" t="e">
        <f t="shared" ref="L183:L189" si="47">H183</f>
        <v>#N/A</v>
      </c>
      <c r="M183" s="918"/>
      <c r="N183" s="336"/>
      <c r="O183" s="299"/>
      <c r="P183" s="299"/>
      <c r="Q183" s="299"/>
      <c r="R183" s="299"/>
      <c r="S183" s="299"/>
      <c r="T183" s="299"/>
      <c r="U183" s="299"/>
      <c r="V183" s="498"/>
      <c r="W183" s="498"/>
      <c r="X183" s="498"/>
      <c r="Y183" s="498"/>
      <c r="Z183" s="498"/>
      <c r="AA183" s="498"/>
    </row>
    <row r="184" spans="1:27" ht="15" customHeight="1" x14ac:dyDescent="0.2">
      <c r="A184" s="286"/>
      <c r="B184" s="938" t="s">
        <v>36</v>
      </c>
      <c r="C184" s="939"/>
      <c r="D184" s="936">
        <f>INTAKE!N$35</f>
        <v>0</v>
      </c>
      <c r="E184" s="937"/>
      <c r="F184" s="955"/>
      <c r="G184" s="957"/>
      <c r="H184" s="917" t="e">
        <f>VLOOKUP(I181,[3]PLANS!$A$1:$H$107,3,FALSE)</f>
        <v>#N/A</v>
      </c>
      <c r="I184" s="918"/>
      <c r="J184" s="919" t="e">
        <f t="shared" si="46"/>
        <v>#N/A</v>
      </c>
      <c r="K184" s="920"/>
      <c r="L184" s="921" t="e">
        <f t="shared" si="47"/>
        <v>#N/A</v>
      </c>
      <c r="M184" s="918"/>
      <c r="N184" s="336"/>
      <c r="O184" s="299"/>
      <c r="P184" s="299"/>
      <c r="Q184" s="299"/>
      <c r="R184" s="299"/>
      <c r="S184" s="299"/>
      <c r="T184" s="299"/>
      <c r="U184" s="299"/>
      <c r="V184" s="498"/>
      <c r="W184" s="498"/>
      <c r="X184" s="498"/>
      <c r="Y184" s="498"/>
      <c r="Z184" s="498"/>
      <c r="AA184" s="498"/>
    </row>
    <row r="185" spans="1:27" ht="15" customHeight="1" x14ac:dyDescent="0.2">
      <c r="A185" s="286"/>
      <c r="B185" s="945" t="s">
        <v>37</v>
      </c>
      <c r="C185" s="946"/>
      <c r="D185" s="936">
        <f>INTAKE!O$35</f>
        <v>0</v>
      </c>
      <c r="E185" s="937"/>
      <c r="F185" s="955"/>
      <c r="G185" s="957"/>
      <c r="H185" s="917" t="e">
        <f>VLOOKUP(I181,[3]PLANS!$A$1:$H$107,4,FALSE)</f>
        <v>#N/A</v>
      </c>
      <c r="I185" s="918"/>
      <c r="J185" s="919" t="e">
        <f t="shared" si="46"/>
        <v>#N/A</v>
      </c>
      <c r="K185" s="920"/>
      <c r="L185" s="921" t="e">
        <f t="shared" si="47"/>
        <v>#N/A</v>
      </c>
      <c r="M185" s="918"/>
      <c r="N185" s="336"/>
      <c r="O185" s="299"/>
      <c r="P185" s="299"/>
      <c r="Q185" s="299"/>
      <c r="R185" s="299"/>
      <c r="S185" s="299"/>
      <c r="T185" s="299"/>
      <c r="U185" s="299"/>
      <c r="V185" s="498"/>
      <c r="W185" s="498"/>
      <c r="X185" s="498"/>
      <c r="Y185" s="498"/>
      <c r="Z185" s="498"/>
      <c r="AA185" s="498"/>
    </row>
    <row r="186" spans="1:27" ht="15" customHeight="1" x14ac:dyDescent="0.2">
      <c r="A186" s="286"/>
      <c r="B186" s="934" t="s">
        <v>38</v>
      </c>
      <c r="C186" s="935"/>
      <c r="D186" s="915">
        <f>INTAKE!P$35</f>
        <v>0</v>
      </c>
      <c r="E186" s="916"/>
      <c r="F186" s="955"/>
      <c r="G186" s="957"/>
      <c r="H186" s="917" t="e">
        <f>VLOOKUP(I181,[3]PLANS!$A$1:$H$107,5,FALSE)</f>
        <v>#N/A</v>
      </c>
      <c r="I186" s="918"/>
      <c r="J186" s="919" t="e">
        <f t="shared" si="46"/>
        <v>#N/A</v>
      </c>
      <c r="K186" s="920"/>
      <c r="L186" s="921" t="e">
        <f t="shared" si="47"/>
        <v>#N/A</v>
      </c>
      <c r="M186" s="918"/>
      <c r="N186" s="336"/>
      <c r="O186" s="299"/>
      <c r="P186" s="299"/>
      <c r="Q186" s="299"/>
      <c r="R186" s="299"/>
      <c r="S186" s="299"/>
      <c r="T186" s="299"/>
      <c r="U186" s="299"/>
      <c r="V186" s="498"/>
      <c r="W186" s="498"/>
      <c r="X186" s="498"/>
      <c r="Y186" s="498"/>
      <c r="Z186" s="498"/>
      <c r="AA186" s="498"/>
    </row>
    <row r="187" spans="1:27" ht="15" customHeight="1" x14ac:dyDescent="0.2">
      <c r="A187" s="286"/>
      <c r="B187" s="934" t="s">
        <v>39</v>
      </c>
      <c r="C187" s="935"/>
      <c r="D187" s="915">
        <f>INTAKE!Q$35</f>
        <v>0</v>
      </c>
      <c r="E187" s="916"/>
      <c r="F187" s="955"/>
      <c r="G187" s="957"/>
      <c r="H187" s="917" t="e">
        <f>VLOOKUP(I181,[3]PLANS!$A$1:$H$107,6,FALSE)</f>
        <v>#N/A</v>
      </c>
      <c r="I187" s="918"/>
      <c r="J187" s="919" t="e">
        <f t="shared" si="46"/>
        <v>#N/A</v>
      </c>
      <c r="K187" s="920"/>
      <c r="L187" s="921" t="e">
        <f t="shared" si="47"/>
        <v>#N/A</v>
      </c>
      <c r="M187" s="918"/>
      <c r="N187" s="336"/>
      <c r="O187" s="299"/>
      <c r="P187" s="299"/>
      <c r="Q187" s="299"/>
      <c r="R187" s="299"/>
      <c r="S187" s="299"/>
      <c r="T187" s="299"/>
      <c r="U187" s="299"/>
      <c r="V187" s="498"/>
      <c r="W187" s="498"/>
      <c r="X187" s="498"/>
      <c r="Y187" s="498"/>
      <c r="Z187" s="498"/>
      <c r="AA187" s="498"/>
    </row>
    <row r="188" spans="1:27" ht="15" customHeight="1" x14ac:dyDescent="0.2">
      <c r="A188" s="286"/>
      <c r="B188" s="934" t="s">
        <v>90</v>
      </c>
      <c r="C188" s="935"/>
      <c r="D188" s="936">
        <f>INTAKE!R$35</f>
        <v>0</v>
      </c>
      <c r="E188" s="937"/>
      <c r="F188" s="955"/>
      <c r="G188" s="957"/>
      <c r="H188" s="917" t="e">
        <f>VLOOKUP(I181,[3]PLANS!$A$1:$H$107,7,FALSE)</f>
        <v>#N/A</v>
      </c>
      <c r="I188" s="918"/>
      <c r="J188" s="919" t="e">
        <f t="shared" si="46"/>
        <v>#N/A</v>
      </c>
      <c r="K188" s="920"/>
      <c r="L188" s="921" t="e">
        <f t="shared" si="47"/>
        <v>#N/A</v>
      </c>
      <c r="M188" s="918"/>
      <c r="N188" s="336"/>
      <c r="O188" s="299"/>
      <c r="P188" s="299"/>
      <c r="Q188" s="299"/>
      <c r="R188" s="299"/>
      <c r="S188" s="299"/>
      <c r="T188" s="299"/>
      <c r="U188" s="299"/>
      <c r="V188" s="498"/>
      <c r="W188" s="498"/>
      <c r="X188" s="498"/>
      <c r="Y188" s="498"/>
      <c r="Z188" s="498"/>
      <c r="AA188" s="498"/>
    </row>
    <row r="189" spans="1:27" ht="15" customHeight="1" x14ac:dyDescent="0.2">
      <c r="A189" s="286"/>
      <c r="B189" s="938" t="s">
        <v>92</v>
      </c>
      <c r="C189" s="939"/>
      <c r="D189" s="936">
        <f>INTAKE!S$35</f>
        <v>0</v>
      </c>
      <c r="E189" s="937"/>
      <c r="F189" s="955"/>
      <c r="G189" s="957"/>
      <c r="H189" s="940" t="e">
        <f>VLOOKUP(I181,[3]PLANS!$A$1:$H$107,8,FALSE)</f>
        <v>#N/A</v>
      </c>
      <c r="I189" s="941"/>
      <c r="J189" s="942" t="e">
        <f t="shared" si="46"/>
        <v>#N/A</v>
      </c>
      <c r="K189" s="943"/>
      <c r="L189" s="944" t="e">
        <f t="shared" si="47"/>
        <v>#N/A</v>
      </c>
      <c r="M189" s="941"/>
      <c r="N189" s="336"/>
      <c r="O189" s="299"/>
      <c r="P189" s="299"/>
      <c r="Q189" s="299"/>
      <c r="R189" s="299"/>
      <c r="S189" s="299"/>
      <c r="T189" s="299"/>
      <c r="U189" s="299"/>
      <c r="V189" s="498"/>
      <c r="W189" s="498"/>
      <c r="X189" s="498"/>
      <c r="Y189" s="498"/>
      <c r="Z189" s="498"/>
      <c r="AA189" s="498"/>
    </row>
    <row r="190" spans="1:27" ht="15" customHeight="1" thickBot="1" x14ac:dyDescent="0.25">
      <c r="A190" s="286"/>
      <c r="B190" s="922" t="s">
        <v>93</v>
      </c>
      <c r="C190" s="923"/>
      <c r="D190" s="245" t="s">
        <v>29</v>
      </c>
      <c r="E190" s="246" t="s">
        <v>94</v>
      </c>
      <c r="F190" s="247" t="s">
        <v>29</v>
      </c>
      <c r="G190" s="248" t="s">
        <v>94</v>
      </c>
      <c r="H190" s="366" t="s">
        <v>29</v>
      </c>
      <c r="I190" s="249" t="s">
        <v>94</v>
      </c>
      <c r="J190" s="250" t="s">
        <v>29</v>
      </c>
      <c r="K190" s="251" t="s">
        <v>94</v>
      </c>
      <c r="L190" s="252" t="s">
        <v>29</v>
      </c>
      <c r="M190" s="249" t="s">
        <v>94</v>
      </c>
      <c r="N190" s="336"/>
      <c r="O190" s="299"/>
      <c r="P190" s="299"/>
      <c r="Q190" s="299"/>
      <c r="R190" s="299"/>
      <c r="S190" s="299"/>
      <c r="T190" s="299"/>
      <c r="U190" s="299"/>
      <c r="V190" s="498"/>
      <c r="W190" s="498"/>
      <c r="X190" s="498"/>
      <c r="Y190" s="498"/>
      <c r="Z190" s="498"/>
      <c r="AA190" s="498"/>
    </row>
    <row r="191" spans="1:27" ht="15" customHeight="1" thickBot="1" x14ac:dyDescent="0.25">
      <c r="A191" s="286"/>
      <c r="B191" s="699" t="s">
        <v>95</v>
      </c>
      <c r="C191" s="237">
        <f>INTAKE!I$36</f>
        <v>0</v>
      </c>
      <c r="D191" s="236">
        <f>INTAKE!I35</f>
        <v>0</v>
      </c>
      <c r="E191" s="234">
        <f>C191*D191</f>
        <v>0</v>
      </c>
      <c r="F191" s="233">
        <f>SUM(1+G182/1)*D191</f>
        <v>0</v>
      </c>
      <c r="G191" s="364">
        <f>C191*F191</f>
        <v>0</v>
      </c>
      <c r="H191" s="368">
        <v>0</v>
      </c>
      <c r="I191" s="365">
        <f>C191*H191</f>
        <v>0</v>
      </c>
      <c r="J191" s="230">
        <f>IF($U$20&lt;0%,0,SUM(H191)*(1-K181)*1)</f>
        <v>0</v>
      </c>
      <c r="K191" s="231">
        <f>IF(J191=0,0,C191*J191)</f>
        <v>0</v>
      </c>
      <c r="L191" s="244">
        <f>IF($Z$17=0,0,SUM(J191)*(1-M181)*1)</f>
        <v>0</v>
      </c>
      <c r="M191" s="242">
        <f>C191*L191</f>
        <v>0</v>
      </c>
      <c r="N191" s="336"/>
      <c r="O191" s="299"/>
      <c r="P191" s="299"/>
      <c r="Q191" s="299"/>
      <c r="R191" s="299"/>
      <c r="S191" s="299"/>
      <c r="T191" s="299"/>
      <c r="U191" s="299"/>
      <c r="V191" s="498"/>
      <c r="W191" s="498"/>
      <c r="X191" s="498"/>
      <c r="Y191" s="498"/>
      <c r="Z191" s="498"/>
      <c r="AA191" s="498"/>
    </row>
    <row r="192" spans="1:27" ht="15" customHeight="1" x14ac:dyDescent="0.2">
      <c r="A192" s="286"/>
      <c r="B192" s="699" t="s">
        <v>1914</v>
      </c>
      <c r="C192" s="237">
        <f>INTAKE!J$36</f>
        <v>0</v>
      </c>
      <c r="D192" s="236">
        <f>INTAKE!J35</f>
        <v>0</v>
      </c>
      <c r="E192" s="234">
        <f t="shared" ref="E192:E193" si="48">C192*D192</f>
        <v>0</v>
      </c>
      <c r="F192" s="233">
        <f>SUM(1+G182/1)*D192</f>
        <v>0</v>
      </c>
      <c r="G192" s="232">
        <f t="shared" ref="G192:G193" si="49">C192*F192</f>
        <v>0</v>
      </c>
      <c r="H192" s="367">
        <f>2.2*H191</f>
        <v>0</v>
      </c>
      <c r="I192" s="242">
        <f>C192*H192</f>
        <v>0</v>
      </c>
      <c r="J192" s="230">
        <f>IF($U$20&lt;0%,0,SUM(H192)*(1-K181)*1)</f>
        <v>0</v>
      </c>
      <c r="K192" s="231">
        <f t="shared" ref="K192:K193" si="50">IF(J192=0,0,C192*J192)</f>
        <v>0</v>
      </c>
      <c r="L192" s="244">
        <f>IF($Z$17=0,0,SUM(J192)*(1-M181)*1)</f>
        <v>0</v>
      </c>
      <c r="M192" s="242">
        <f>C192*L192</f>
        <v>0</v>
      </c>
      <c r="N192" s="336"/>
      <c r="O192" s="299"/>
      <c r="P192" s="299"/>
      <c r="Q192" s="299"/>
      <c r="R192" s="299"/>
      <c r="S192" s="299"/>
      <c r="T192" s="299"/>
      <c r="U192" s="299"/>
      <c r="V192" s="498"/>
      <c r="W192" s="498"/>
      <c r="X192" s="498"/>
      <c r="Y192" s="498"/>
      <c r="Z192" s="498"/>
      <c r="AA192" s="498"/>
    </row>
    <row r="193" spans="1:27" ht="15" customHeight="1" x14ac:dyDescent="0.2">
      <c r="A193" s="286"/>
      <c r="B193" s="699" t="s">
        <v>1915</v>
      </c>
      <c r="C193" s="237">
        <f>INTAKE!K$36</f>
        <v>0</v>
      </c>
      <c r="D193" s="236">
        <f>INTAKE!K35</f>
        <v>0</v>
      </c>
      <c r="E193" s="234">
        <f t="shared" si="48"/>
        <v>0</v>
      </c>
      <c r="F193" s="233">
        <f>SUM(1+G182/1)*D193</f>
        <v>0</v>
      </c>
      <c r="G193" s="232">
        <f t="shared" si="49"/>
        <v>0</v>
      </c>
      <c r="H193" s="243">
        <f>1.8*H191</f>
        <v>0</v>
      </c>
      <c r="I193" s="242">
        <f>C193*H193</f>
        <v>0</v>
      </c>
      <c r="J193" s="230">
        <f>IF($U$20&lt;0%,0,SUM(H193)*(1-K181)*1)</f>
        <v>0</v>
      </c>
      <c r="K193" s="231">
        <f t="shared" si="50"/>
        <v>0</v>
      </c>
      <c r="L193" s="244">
        <f>IF($Z$17=0,0,SUM(J193)*(1-M181)*1)</f>
        <v>0</v>
      </c>
      <c r="M193" s="242">
        <f>C193*L193</f>
        <v>0</v>
      </c>
      <c r="N193" s="336"/>
      <c r="O193" s="299"/>
      <c r="P193" s="299"/>
      <c r="Q193" s="299"/>
      <c r="R193" s="299"/>
      <c r="S193" s="299"/>
      <c r="T193" s="299"/>
      <c r="U193" s="299"/>
      <c r="V193" s="498"/>
      <c r="W193" s="498"/>
      <c r="X193" s="498"/>
      <c r="Y193" s="498"/>
      <c r="Z193" s="498"/>
      <c r="AA193" s="498"/>
    </row>
    <row r="194" spans="1:27" ht="15" customHeight="1" x14ac:dyDescent="0.2">
      <c r="A194" s="286"/>
      <c r="B194" s="699"/>
      <c r="C194" s="237">
        <f>INTAKE!L$36</f>
        <v>0</v>
      </c>
      <c r="D194" s="694"/>
      <c r="E194" s="695"/>
      <c r="F194" s="694"/>
      <c r="G194" s="695"/>
      <c r="H194" s="694"/>
      <c r="I194" s="695"/>
      <c r="J194" s="694"/>
      <c r="K194" s="695"/>
      <c r="L194" s="694"/>
      <c r="M194" s="695"/>
      <c r="N194" s="336"/>
      <c r="O194" s="299"/>
      <c r="P194" s="299"/>
      <c r="Q194" s="299"/>
      <c r="R194" s="299"/>
      <c r="S194" s="299"/>
      <c r="T194" s="299"/>
      <c r="U194" s="299"/>
      <c r="V194" s="498"/>
      <c r="W194" s="498"/>
      <c r="X194" s="498"/>
      <c r="Y194" s="498"/>
      <c r="Z194" s="498"/>
      <c r="AA194" s="498"/>
    </row>
    <row r="195" spans="1:27" x14ac:dyDescent="0.2">
      <c r="B195" s="924"/>
      <c r="C195" s="925"/>
      <c r="D195" s="358" t="s">
        <v>1734</v>
      </c>
      <c r="E195" s="356">
        <f>SUM(E191:E194)</f>
        <v>0</v>
      </c>
      <c r="F195" s="362" t="s">
        <v>1734</v>
      </c>
      <c r="G195" s="360">
        <f>SUM(G191:G194)</f>
        <v>0</v>
      </c>
      <c r="H195" s="346" t="s">
        <v>1734</v>
      </c>
      <c r="I195" s="347">
        <f>SUM(I191:I194)</f>
        <v>0</v>
      </c>
      <c r="J195" s="350" t="s">
        <v>1734</v>
      </c>
      <c r="K195" s="351">
        <f>IF($M$6&lt;0%=0,0,SUM(K191:K194))</f>
        <v>0</v>
      </c>
      <c r="L195" s="352" t="s">
        <v>1734</v>
      </c>
      <c r="M195" s="347">
        <f>SUM(M191:M194)</f>
        <v>0</v>
      </c>
      <c r="N195" s="336"/>
      <c r="O195" s="299"/>
      <c r="P195" s="299"/>
      <c r="Q195" s="299"/>
      <c r="R195" s="299"/>
      <c r="S195" s="299"/>
      <c r="T195" s="299"/>
      <c r="U195" s="299"/>
      <c r="V195" s="498"/>
      <c r="W195" s="498"/>
      <c r="X195" s="498"/>
      <c r="Y195" s="498"/>
      <c r="Z195" s="498"/>
      <c r="AA195" s="498"/>
    </row>
    <row r="196" spans="1:27" x14ac:dyDescent="0.2">
      <c r="B196" s="926"/>
      <c r="C196" s="927"/>
      <c r="D196" s="358" t="s">
        <v>1767</v>
      </c>
      <c r="E196" s="359">
        <f>E195*12</f>
        <v>0</v>
      </c>
      <c r="F196" s="362" t="s">
        <v>1767</v>
      </c>
      <c r="G196" s="363">
        <f>G195*12</f>
        <v>0</v>
      </c>
      <c r="H196" s="348" t="s">
        <v>1767</v>
      </c>
      <c r="I196" s="349">
        <f>I195*12</f>
        <v>0</v>
      </c>
      <c r="J196" s="353" t="s">
        <v>1767</v>
      </c>
      <c r="K196" s="354">
        <f>K195*12</f>
        <v>0</v>
      </c>
      <c r="L196" s="355" t="s">
        <v>1767</v>
      </c>
      <c r="M196" s="349">
        <f>M195*12</f>
        <v>0</v>
      </c>
      <c r="N196" s="336"/>
      <c r="O196" s="299"/>
      <c r="P196" s="299"/>
      <c r="Q196" s="299"/>
      <c r="R196" s="299"/>
      <c r="S196" s="299"/>
      <c r="T196" s="299"/>
      <c r="U196" s="299"/>
      <c r="V196" s="498"/>
      <c r="W196" s="498"/>
      <c r="X196" s="498"/>
      <c r="Y196" s="498"/>
      <c r="Z196" s="498"/>
      <c r="AA196" s="498"/>
    </row>
    <row r="197" spans="1:27" ht="16" thickBot="1" x14ac:dyDescent="0.25">
      <c r="A197" s="299"/>
      <c r="B197" s="928"/>
      <c r="C197" s="929"/>
      <c r="D197" s="930"/>
      <c r="E197" s="931"/>
      <c r="F197" s="932"/>
      <c r="G197" s="933"/>
      <c r="H197" s="255" t="s">
        <v>1731</v>
      </c>
      <c r="I197" s="256" t="str">
        <f>IF(I195&lt;1,"",(E196-I196)/E196*-1)</f>
        <v/>
      </c>
      <c r="J197" s="257" t="s">
        <v>1731</v>
      </c>
      <c r="K197" s="258">
        <f>IF(K196=0,0,(E196-K196)/E196*-1)</f>
        <v>0</v>
      </c>
      <c r="L197" s="259" t="s">
        <v>1731</v>
      </c>
      <c r="M197" s="256">
        <f>IF(I195=0,0,(E196-M196)/E196*-1)</f>
        <v>0</v>
      </c>
      <c r="N197" s="336"/>
      <c r="O197" s="299"/>
      <c r="P197" s="299"/>
      <c r="Q197" s="299"/>
      <c r="R197" s="299"/>
      <c r="S197" s="299"/>
      <c r="T197" s="299"/>
      <c r="U197" s="299"/>
      <c r="V197" s="498"/>
      <c r="W197" s="498"/>
      <c r="X197" s="498"/>
      <c r="Y197" s="498"/>
      <c r="Z197" s="498"/>
      <c r="AA197" s="498"/>
    </row>
    <row r="198" spans="1:27" ht="16" thickTop="1" x14ac:dyDescent="0.2">
      <c r="A198" s="299"/>
      <c r="B198" s="299"/>
      <c r="C198" s="299"/>
      <c r="D198" s="299"/>
      <c r="E198" s="299"/>
      <c r="F198" s="299"/>
      <c r="G198" s="299"/>
      <c r="H198" s="299"/>
      <c r="I198" s="299"/>
      <c r="J198" s="299"/>
      <c r="K198" s="299"/>
      <c r="L198" s="299"/>
      <c r="M198" s="299"/>
      <c r="N198" s="299"/>
      <c r="O198" s="299"/>
      <c r="P198" s="299"/>
      <c r="Q198" s="299"/>
      <c r="R198" s="299"/>
      <c r="S198" s="299"/>
      <c r="T198" s="299"/>
      <c r="U198" s="299"/>
      <c r="V198" s="299"/>
      <c r="W198" s="299"/>
      <c r="X198" s="299"/>
      <c r="Y198" s="299"/>
      <c r="Z198" s="299"/>
      <c r="AA198" s="299"/>
    </row>
  </sheetData>
  <mergeCells count="526">
    <mergeCell ref="U5:V5"/>
    <mergeCell ref="W5:X5"/>
    <mergeCell ref="U6:V6"/>
    <mergeCell ref="W6:X6"/>
    <mergeCell ref="U7:V7"/>
    <mergeCell ref="W7:X7"/>
    <mergeCell ref="B3:M3"/>
    <mergeCell ref="O3:S3"/>
    <mergeCell ref="U3:X3"/>
    <mergeCell ref="E4:G4"/>
    <mergeCell ref="U4:V4"/>
    <mergeCell ref="W4:X4"/>
    <mergeCell ref="B8:C11"/>
    <mergeCell ref="D8:G8"/>
    <mergeCell ref="H8:M8"/>
    <mergeCell ref="U8:V8"/>
    <mergeCell ref="W8:X8"/>
    <mergeCell ref="D9:E10"/>
    <mergeCell ref="F9:G10"/>
    <mergeCell ref="H9:I9"/>
    <mergeCell ref="J9:K9"/>
    <mergeCell ref="L9:M9"/>
    <mergeCell ref="U9:V9"/>
    <mergeCell ref="W9:X9"/>
    <mergeCell ref="O10:S10"/>
    <mergeCell ref="U10:V10"/>
    <mergeCell ref="W10:X10"/>
    <mergeCell ref="J11:K11"/>
    <mergeCell ref="L11:M11"/>
    <mergeCell ref="U11:V11"/>
    <mergeCell ref="W11:X11"/>
    <mergeCell ref="U12:V12"/>
    <mergeCell ref="W12:X12"/>
    <mergeCell ref="B13:C13"/>
    <mergeCell ref="D13:E13"/>
    <mergeCell ref="H13:I13"/>
    <mergeCell ref="J13:K13"/>
    <mergeCell ref="L13:M13"/>
    <mergeCell ref="B12:C12"/>
    <mergeCell ref="D12:E12"/>
    <mergeCell ref="F12:G18"/>
    <mergeCell ref="H12:I12"/>
    <mergeCell ref="J12:K12"/>
    <mergeCell ref="L12:M12"/>
    <mergeCell ref="B14:C14"/>
    <mergeCell ref="D14:E14"/>
    <mergeCell ref="H14:I14"/>
    <mergeCell ref="J14:K14"/>
    <mergeCell ref="O17:S17"/>
    <mergeCell ref="U15:Z15"/>
    <mergeCell ref="B16:C16"/>
    <mergeCell ref="D16:E16"/>
    <mergeCell ref="H16:I16"/>
    <mergeCell ref="J16:K16"/>
    <mergeCell ref="L16:M16"/>
    <mergeCell ref="L14:M14"/>
    <mergeCell ref="B15:C15"/>
    <mergeCell ref="D15:E15"/>
    <mergeCell ref="H15:I15"/>
    <mergeCell ref="J15:K15"/>
    <mergeCell ref="L15:M15"/>
    <mergeCell ref="B18:C18"/>
    <mergeCell ref="D18:E18"/>
    <mergeCell ref="H18:I18"/>
    <mergeCell ref="J18:K18"/>
    <mergeCell ref="L18:M18"/>
    <mergeCell ref="B19:C19"/>
    <mergeCell ref="B17:C17"/>
    <mergeCell ref="D17:E17"/>
    <mergeCell ref="H17:I17"/>
    <mergeCell ref="J17:K17"/>
    <mergeCell ref="L17:M17"/>
    <mergeCell ref="U19:X19"/>
    <mergeCell ref="B24:C26"/>
    <mergeCell ref="D26:E26"/>
    <mergeCell ref="F26:G26"/>
    <mergeCell ref="B27:C30"/>
    <mergeCell ref="D27:G27"/>
    <mergeCell ref="H27:M27"/>
    <mergeCell ref="D28:E29"/>
    <mergeCell ref="F28:G29"/>
    <mergeCell ref="H28:I28"/>
    <mergeCell ref="J28:K28"/>
    <mergeCell ref="L28:M28"/>
    <mergeCell ref="J30:K30"/>
    <mergeCell ref="L30:M30"/>
    <mergeCell ref="B31:C31"/>
    <mergeCell ref="D31:E31"/>
    <mergeCell ref="F31:G37"/>
    <mergeCell ref="H31:I31"/>
    <mergeCell ref="J31:K31"/>
    <mergeCell ref="L31:M31"/>
    <mergeCell ref="B32:C32"/>
    <mergeCell ref="D32:E32"/>
    <mergeCell ref="H32:I32"/>
    <mergeCell ref="J32:K32"/>
    <mergeCell ref="L32:M32"/>
    <mergeCell ref="B33:C33"/>
    <mergeCell ref="D33:E33"/>
    <mergeCell ref="H33:I33"/>
    <mergeCell ref="J33:K33"/>
    <mergeCell ref="L33:M33"/>
    <mergeCell ref="B34:C34"/>
    <mergeCell ref="D34:E34"/>
    <mergeCell ref="H34:I34"/>
    <mergeCell ref="J34:K34"/>
    <mergeCell ref="L34:M34"/>
    <mergeCell ref="B35:C35"/>
    <mergeCell ref="D35:E35"/>
    <mergeCell ref="H35:I35"/>
    <mergeCell ref="J35:K35"/>
    <mergeCell ref="L35:M35"/>
    <mergeCell ref="B36:C36"/>
    <mergeCell ref="D36:E36"/>
    <mergeCell ref="H36:I36"/>
    <mergeCell ref="J36:K36"/>
    <mergeCell ref="L36:M36"/>
    <mergeCell ref="B37:C37"/>
    <mergeCell ref="D37:E37"/>
    <mergeCell ref="H37:I37"/>
    <mergeCell ref="J37:K37"/>
    <mergeCell ref="L37:M37"/>
    <mergeCell ref="H46:M46"/>
    <mergeCell ref="D47:E48"/>
    <mergeCell ref="F47:G48"/>
    <mergeCell ref="H47:I47"/>
    <mergeCell ref="J47:K47"/>
    <mergeCell ref="L47:M47"/>
    <mergeCell ref="B38:C38"/>
    <mergeCell ref="B43:C45"/>
    <mergeCell ref="D45:E45"/>
    <mergeCell ref="F45:G45"/>
    <mergeCell ref="B46:C49"/>
    <mergeCell ref="D46:G46"/>
    <mergeCell ref="H51:I51"/>
    <mergeCell ref="J51:K51"/>
    <mergeCell ref="L51:M51"/>
    <mergeCell ref="B52:C52"/>
    <mergeCell ref="D52:E52"/>
    <mergeCell ref="H52:I52"/>
    <mergeCell ref="J52:K52"/>
    <mergeCell ref="L52:M52"/>
    <mergeCell ref="J49:K49"/>
    <mergeCell ref="L49:M49"/>
    <mergeCell ref="B50:C50"/>
    <mergeCell ref="D50:E50"/>
    <mergeCell ref="F50:G56"/>
    <mergeCell ref="H50:I50"/>
    <mergeCell ref="J50:K50"/>
    <mergeCell ref="L50:M50"/>
    <mergeCell ref="B51:C51"/>
    <mergeCell ref="D51:E51"/>
    <mergeCell ref="B53:C53"/>
    <mergeCell ref="D53:E53"/>
    <mergeCell ref="H53:I53"/>
    <mergeCell ref="J53:K53"/>
    <mergeCell ref="L53:M53"/>
    <mergeCell ref="B54:C54"/>
    <mergeCell ref="D54:E54"/>
    <mergeCell ref="H54:I54"/>
    <mergeCell ref="J54:K54"/>
    <mergeCell ref="L54:M54"/>
    <mergeCell ref="B55:C55"/>
    <mergeCell ref="D55:E55"/>
    <mergeCell ref="H55:I55"/>
    <mergeCell ref="J55:K55"/>
    <mergeCell ref="L55:M55"/>
    <mergeCell ref="B56:C56"/>
    <mergeCell ref="D56:E56"/>
    <mergeCell ref="H56:I56"/>
    <mergeCell ref="J56:K56"/>
    <mergeCell ref="L56:M56"/>
    <mergeCell ref="H65:M65"/>
    <mergeCell ref="D66:E67"/>
    <mergeCell ref="F66:G67"/>
    <mergeCell ref="H66:I66"/>
    <mergeCell ref="J66:K66"/>
    <mergeCell ref="L66:M66"/>
    <mergeCell ref="B57:C57"/>
    <mergeCell ref="B62:C64"/>
    <mergeCell ref="D64:E64"/>
    <mergeCell ref="F64:G64"/>
    <mergeCell ref="B65:C68"/>
    <mergeCell ref="D65:G65"/>
    <mergeCell ref="H70:I70"/>
    <mergeCell ref="J70:K70"/>
    <mergeCell ref="L70:M70"/>
    <mergeCell ref="B71:C71"/>
    <mergeCell ref="D71:E71"/>
    <mergeCell ref="H71:I71"/>
    <mergeCell ref="J71:K71"/>
    <mergeCell ref="L71:M71"/>
    <mergeCell ref="J68:K68"/>
    <mergeCell ref="L68:M68"/>
    <mergeCell ref="B69:C69"/>
    <mergeCell ref="D69:E69"/>
    <mergeCell ref="F69:G75"/>
    <mergeCell ref="H69:I69"/>
    <mergeCell ref="J69:K69"/>
    <mergeCell ref="L69:M69"/>
    <mergeCell ref="B70:C70"/>
    <mergeCell ref="D70:E70"/>
    <mergeCell ref="B72:C72"/>
    <mergeCell ref="D72:E72"/>
    <mergeCell ref="H72:I72"/>
    <mergeCell ref="J72:K72"/>
    <mergeCell ref="L72:M72"/>
    <mergeCell ref="B73:C73"/>
    <mergeCell ref="D73:E73"/>
    <mergeCell ref="H73:I73"/>
    <mergeCell ref="J73:K73"/>
    <mergeCell ref="L73:M73"/>
    <mergeCell ref="B74:C74"/>
    <mergeCell ref="D74:E74"/>
    <mergeCell ref="H74:I74"/>
    <mergeCell ref="J74:K74"/>
    <mergeCell ref="L74:M74"/>
    <mergeCell ref="B75:C75"/>
    <mergeCell ref="D75:E75"/>
    <mergeCell ref="H75:I75"/>
    <mergeCell ref="J75:K75"/>
    <mergeCell ref="L75:M75"/>
    <mergeCell ref="H84:M84"/>
    <mergeCell ref="D85:E86"/>
    <mergeCell ref="F85:G86"/>
    <mergeCell ref="H85:I85"/>
    <mergeCell ref="J85:K85"/>
    <mergeCell ref="L85:M85"/>
    <mergeCell ref="B76:C76"/>
    <mergeCell ref="B81:C83"/>
    <mergeCell ref="D83:E83"/>
    <mergeCell ref="F83:G83"/>
    <mergeCell ref="B84:C87"/>
    <mergeCell ref="D84:G84"/>
    <mergeCell ref="H89:I89"/>
    <mergeCell ref="J89:K89"/>
    <mergeCell ref="L89:M89"/>
    <mergeCell ref="B90:C90"/>
    <mergeCell ref="D90:E90"/>
    <mergeCell ref="H90:I90"/>
    <mergeCell ref="J90:K90"/>
    <mergeCell ref="L90:M90"/>
    <mergeCell ref="J87:K87"/>
    <mergeCell ref="L87:M87"/>
    <mergeCell ref="B88:C88"/>
    <mergeCell ref="D88:E88"/>
    <mergeCell ref="F88:G94"/>
    <mergeCell ref="H88:I88"/>
    <mergeCell ref="J88:K88"/>
    <mergeCell ref="L88:M88"/>
    <mergeCell ref="B89:C89"/>
    <mergeCell ref="D89:E89"/>
    <mergeCell ref="B91:C91"/>
    <mergeCell ref="D91:E91"/>
    <mergeCell ref="H91:I91"/>
    <mergeCell ref="J91:K91"/>
    <mergeCell ref="L91:M91"/>
    <mergeCell ref="B92:C92"/>
    <mergeCell ref="D92:E92"/>
    <mergeCell ref="H92:I92"/>
    <mergeCell ref="J92:K92"/>
    <mergeCell ref="L92:M92"/>
    <mergeCell ref="B93:C93"/>
    <mergeCell ref="D93:E93"/>
    <mergeCell ref="H93:I93"/>
    <mergeCell ref="J93:K93"/>
    <mergeCell ref="L93:M93"/>
    <mergeCell ref="B94:C94"/>
    <mergeCell ref="D94:E94"/>
    <mergeCell ref="H94:I94"/>
    <mergeCell ref="J94:K94"/>
    <mergeCell ref="L94:M94"/>
    <mergeCell ref="H103:M103"/>
    <mergeCell ref="D104:E105"/>
    <mergeCell ref="F104:G105"/>
    <mergeCell ref="H104:I104"/>
    <mergeCell ref="J104:K104"/>
    <mergeCell ref="L104:M104"/>
    <mergeCell ref="B95:C95"/>
    <mergeCell ref="B100:C102"/>
    <mergeCell ref="D102:E102"/>
    <mergeCell ref="F102:G102"/>
    <mergeCell ref="B103:C106"/>
    <mergeCell ref="D103:G103"/>
    <mergeCell ref="H108:I108"/>
    <mergeCell ref="J108:K108"/>
    <mergeCell ref="L108:M108"/>
    <mergeCell ref="B109:C109"/>
    <mergeCell ref="D109:E109"/>
    <mergeCell ref="H109:I109"/>
    <mergeCell ref="J109:K109"/>
    <mergeCell ref="L109:M109"/>
    <mergeCell ref="J106:K106"/>
    <mergeCell ref="L106:M106"/>
    <mergeCell ref="B107:C107"/>
    <mergeCell ref="D107:E107"/>
    <mergeCell ref="F107:G113"/>
    <mergeCell ref="H107:I107"/>
    <mergeCell ref="J107:K107"/>
    <mergeCell ref="L107:M107"/>
    <mergeCell ref="B108:C108"/>
    <mergeCell ref="D108:E108"/>
    <mergeCell ref="B110:C110"/>
    <mergeCell ref="D110:E110"/>
    <mergeCell ref="H110:I110"/>
    <mergeCell ref="J110:K110"/>
    <mergeCell ref="L110:M110"/>
    <mergeCell ref="B111:C111"/>
    <mergeCell ref="D111:E111"/>
    <mergeCell ref="H111:I111"/>
    <mergeCell ref="J111:K111"/>
    <mergeCell ref="L111:M111"/>
    <mergeCell ref="B112:C112"/>
    <mergeCell ref="D112:E112"/>
    <mergeCell ref="H112:I112"/>
    <mergeCell ref="J112:K112"/>
    <mergeCell ref="L112:M112"/>
    <mergeCell ref="B113:C113"/>
    <mergeCell ref="D113:E113"/>
    <mergeCell ref="H113:I113"/>
    <mergeCell ref="J113:K113"/>
    <mergeCell ref="L113:M113"/>
    <mergeCell ref="H122:M122"/>
    <mergeCell ref="D123:E124"/>
    <mergeCell ref="F123:G124"/>
    <mergeCell ref="H123:I123"/>
    <mergeCell ref="J123:K123"/>
    <mergeCell ref="L123:M123"/>
    <mergeCell ref="B114:C114"/>
    <mergeCell ref="B119:C121"/>
    <mergeCell ref="D121:E121"/>
    <mergeCell ref="F121:G121"/>
    <mergeCell ref="B122:C125"/>
    <mergeCell ref="D122:G122"/>
    <mergeCell ref="H127:I127"/>
    <mergeCell ref="J127:K127"/>
    <mergeCell ref="L127:M127"/>
    <mergeCell ref="B128:C128"/>
    <mergeCell ref="D128:E128"/>
    <mergeCell ref="H128:I128"/>
    <mergeCell ref="J128:K128"/>
    <mergeCell ref="L128:M128"/>
    <mergeCell ref="J125:K125"/>
    <mergeCell ref="L125:M125"/>
    <mergeCell ref="B126:C126"/>
    <mergeCell ref="D126:E126"/>
    <mergeCell ref="F126:G132"/>
    <mergeCell ref="H126:I126"/>
    <mergeCell ref="J126:K126"/>
    <mergeCell ref="L126:M126"/>
    <mergeCell ref="B127:C127"/>
    <mergeCell ref="D127:E127"/>
    <mergeCell ref="B129:C129"/>
    <mergeCell ref="D129:E129"/>
    <mergeCell ref="H129:I129"/>
    <mergeCell ref="J129:K129"/>
    <mergeCell ref="L129:M129"/>
    <mergeCell ref="B130:C130"/>
    <mergeCell ref="D130:E130"/>
    <mergeCell ref="H130:I130"/>
    <mergeCell ref="J130:K130"/>
    <mergeCell ref="L130:M130"/>
    <mergeCell ref="B131:C131"/>
    <mergeCell ref="D131:E131"/>
    <mergeCell ref="H131:I131"/>
    <mergeCell ref="J131:K131"/>
    <mergeCell ref="L131:M131"/>
    <mergeCell ref="B132:C132"/>
    <mergeCell ref="D132:E132"/>
    <mergeCell ref="H132:I132"/>
    <mergeCell ref="J132:K132"/>
    <mergeCell ref="L132:M132"/>
    <mergeCell ref="H141:M141"/>
    <mergeCell ref="D142:E143"/>
    <mergeCell ref="F142:G143"/>
    <mergeCell ref="H142:I142"/>
    <mergeCell ref="J142:K142"/>
    <mergeCell ref="L142:M142"/>
    <mergeCell ref="B133:C133"/>
    <mergeCell ref="B138:C140"/>
    <mergeCell ref="D140:E140"/>
    <mergeCell ref="F140:G140"/>
    <mergeCell ref="B141:C144"/>
    <mergeCell ref="D141:G141"/>
    <mergeCell ref="H146:I146"/>
    <mergeCell ref="J146:K146"/>
    <mergeCell ref="L146:M146"/>
    <mergeCell ref="B147:C147"/>
    <mergeCell ref="D147:E147"/>
    <mergeCell ref="H147:I147"/>
    <mergeCell ref="J147:K147"/>
    <mergeCell ref="L147:M147"/>
    <mergeCell ref="J144:K144"/>
    <mergeCell ref="L144:M144"/>
    <mergeCell ref="B145:C145"/>
    <mergeCell ref="D145:E145"/>
    <mergeCell ref="F145:G151"/>
    <mergeCell ref="H145:I145"/>
    <mergeCell ref="J145:K145"/>
    <mergeCell ref="L145:M145"/>
    <mergeCell ref="B146:C146"/>
    <mergeCell ref="D146:E146"/>
    <mergeCell ref="B148:C148"/>
    <mergeCell ref="D148:E148"/>
    <mergeCell ref="H148:I148"/>
    <mergeCell ref="J148:K148"/>
    <mergeCell ref="L148:M148"/>
    <mergeCell ref="B149:C149"/>
    <mergeCell ref="D149:E149"/>
    <mergeCell ref="H149:I149"/>
    <mergeCell ref="J149:K149"/>
    <mergeCell ref="L149:M149"/>
    <mergeCell ref="B150:C150"/>
    <mergeCell ref="D150:E150"/>
    <mergeCell ref="H150:I150"/>
    <mergeCell ref="J150:K150"/>
    <mergeCell ref="L150:M150"/>
    <mergeCell ref="B151:C151"/>
    <mergeCell ref="D151:E151"/>
    <mergeCell ref="H151:I151"/>
    <mergeCell ref="J151:K151"/>
    <mergeCell ref="L151:M151"/>
    <mergeCell ref="H160:M160"/>
    <mergeCell ref="D161:E162"/>
    <mergeCell ref="F161:G162"/>
    <mergeCell ref="H161:I161"/>
    <mergeCell ref="J161:K161"/>
    <mergeCell ref="L161:M161"/>
    <mergeCell ref="B152:C152"/>
    <mergeCell ref="B157:C159"/>
    <mergeCell ref="D159:E159"/>
    <mergeCell ref="F159:G159"/>
    <mergeCell ref="B160:C163"/>
    <mergeCell ref="D160:G160"/>
    <mergeCell ref="H165:I165"/>
    <mergeCell ref="J165:K165"/>
    <mergeCell ref="L165:M165"/>
    <mergeCell ref="B166:C166"/>
    <mergeCell ref="D166:E166"/>
    <mergeCell ref="H166:I166"/>
    <mergeCell ref="J166:K166"/>
    <mergeCell ref="L166:M166"/>
    <mergeCell ref="J163:K163"/>
    <mergeCell ref="L163:M163"/>
    <mergeCell ref="B164:C164"/>
    <mergeCell ref="D164:E164"/>
    <mergeCell ref="F164:G170"/>
    <mergeCell ref="H164:I164"/>
    <mergeCell ref="J164:K164"/>
    <mergeCell ref="L164:M164"/>
    <mergeCell ref="B165:C165"/>
    <mergeCell ref="D165:E165"/>
    <mergeCell ref="B167:C167"/>
    <mergeCell ref="D167:E167"/>
    <mergeCell ref="H167:I167"/>
    <mergeCell ref="J167:K167"/>
    <mergeCell ref="L167:M167"/>
    <mergeCell ref="B168:C168"/>
    <mergeCell ref="D168:E168"/>
    <mergeCell ref="H168:I168"/>
    <mergeCell ref="J168:K168"/>
    <mergeCell ref="L168:M168"/>
    <mergeCell ref="B169:C169"/>
    <mergeCell ref="D169:E169"/>
    <mergeCell ref="H169:I169"/>
    <mergeCell ref="J169:K169"/>
    <mergeCell ref="L169:M169"/>
    <mergeCell ref="B170:C170"/>
    <mergeCell ref="D170:E170"/>
    <mergeCell ref="H170:I170"/>
    <mergeCell ref="J170:K170"/>
    <mergeCell ref="L170:M170"/>
    <mergeCell ref="H179:M179"/>
    <mergeCell ref="D180:E181"/>
    <mergeCell ref="F180:G181"/>
    <mergeCell ref="H180:I180"/>
    <mergeCell ref="J180:K180"/>
    <mergeCell ref="L180:M180"/>
    <mergeCell ref="B171:C171"/>
    <mergeCell ref="B176:C178"/>
    <mergeCell ref="D178:E178"/>
    <mergeCell ref="F178:G178"/>
    <mergeCell ref="B179:C182"/>
    <mergeCell ref="D179:G179"/>
    <mergeCell ref="H184:I184"/>
    <mergeCell ref="J184:K184"/>
    <mergeCell ref="L184:M184"/>
    <mergeCell ref="B185:C185"/>
    <mergeCell ref="D185:E185"/>
    <mergeCell ref="H185:I185"/>
    <mergeCell ref="J185:K185"/>
    <mergeCell ref="L185:M185"/>
    <mergeCell ref="J182:K182"/>
    <mergeCell ref="L182:M182"/>
    <mergeCell ref="B183:C183"/>
    <mergeCell ref="D183:E183"/>
    <mergeCell ref="F183:G189"/>
    <mergeCell ref="H183:I183"/>
    <mergeCell ref="J183:K183"/>
    <mergeCell ref="L183:M183"/>
    <mergeCell ref="B184:C184"/>
    <mergeCell ref="D184:E184"/>
    <mergeCell ref="B186:C186"/>
    <mergeCell ref="D186:E186"/>
    <mergeCell ref="H186:I186"/>
    <mergeCell ref="J186:K186"/>
    <mergeCell ref="L186:M186"/>
    <mergeCell ref="B187:C187"/>
    <mergeCell ref="D187:E187"/>
    <mergeCell ref="H187:I187"/>
    <mergeCell ref="J187:K187"/>
    <mergeCell ref="L187:M187"/>
    <mergeCell ref="B190:C190"/>
    <mergeCell ref="B195:C197"/>
    <mergeCell ref="D197:E197"/>
    <mergeCell ref="F197:G197"/>
    <mergeCell ref="B188:C188"/>
    <mergeCell ref="D188:E188"/>
    <mergeCell ref="H188:I188"/>
    <mergeCell ref="J188:K188"/>
    <mergeCell ref="L188:M188"/>
    <mergeCell ref="B189:C189"/>
    <mergeCell ref="D189:E189"/>
    <mergeCell ref="H189:I189"/>
    <mergeCell ref="J189:K189"/>
    <mergeCell ref="L189:M189"/>
  </mergeCells>
  <dataValidations count="4">
    <dataValidation type="list" allowBlank="1" showInputMessage="1" showErrorMessage="1" sqref="E4">
      <formula1>"1,2,3,4,5,6,7,8,9,10"</formula1>
    </dataValidation>
    <dataValidation type="list" allowBlank="1" showInputMessage="1" showErrorMessage="1" sqref="I11 I144 I163 I30 I49 I68 I87 I106 I125 I182">
      <formula1>"Traditional,Select,Vivity,Priority Select"</formula1>
    </dataValidation>
    <dataValidation type="list" allowBlank="1" showInputMessage="1" showErrorMessage="1" sqref="I10 I143 I67 I124 I162 I29 I48 I86 I105 I181">
      <formula1>PLAN_CODE</formula1>
    </dataValidation>
    <dataValidation type="list" allowBlank="1" showInputMessage="1" showErrorMessage="1" sqref="U17:Y17">
      <formula1>"X,"</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AA198"/>
  <sheetViews>
    <sheetView showGridLines="0" workbookViewId="0">
      <selection activeCell="H12" sqref="H12:I12"/>
    </sheetView>
  </sheetViews>
  <sheetFormatPr baseColWidth="10" defaultColWidth="9.1640625" defaultRowHeight="15" x14ac:dyDescent="0.2"/>
  <cols>
    <col min="1" max="1" width="2.5" style="74" customWidth="1"/>
    <col min="2" max="2" width="9.33203125" style="75" customWidth="1"/>
    <col min="3" max="3" width="7.33203125" style="75" customWidth="1"/>
    <col min="4" max="13" width="13.6640625" style="75" customWidth="1"/>
    <col min="14" max="14" width="2.83203125" style="75" customWidth="1"/>
    <col min="15" max="15" width="18.33203125" style="74" bestFit="1" customWidth="1"/>
    <col min="16" max="16" width="14.33203125" style="74" customWidth="1"/>
    <col min="17" max="17" width="21.6640625" style="74" customWidth="1"/>
    <col min="18" max="18" width="16.6640625" style="74" customWidth="1"/>
    <col min="19" max="19" width="15.5" style="74" customWidth="1"/>
    <col min="20" max="20" width="2.6640625" style="74" customWidth="1"/>
    <col min="21" max="21" width="13.5" style="74" bestFit="1" customWidth="1"/>
    <col min="22" max="22" width="21.83203125" style="74" bestFit="1" customWidth="1"/>
    <col min="23" max="23" width="13.83203125" style="74" bestFit="1" customWidth="1"/>
    <col min="24" max="16384" width="9.1640625" style="74"/>
  </cols>
  <sheetData>
    <row r="1" spans="1:27" ht="23" x14ac:dyDescent="0.2">
      <c r="A1" s="286"/>
      <c r="B1" s="317" t="s">
        <v>1764</v>
      </c>
      <c r="C1" s="317"/>
      <c r="D1" s="287"/>
      <c r="E1" s="287"/>
      <c r="F1" s="287"/>
      <c r="G1" s="287"/>
      <c r="H1" s="287"/>
      <c r="I1" s="287"/>
      <c r="J1" s="299"/>
      <c r="K1" s="299"/>
      <c r="L1" s="299"/>
      <c r="M1" s="299"/>
      <c r="N1" s="336"/>
      <c r="O1" s="299"/>
      <c r="P1" s="299"/>
      <c r="Q1" s="299"/>
      <c r="R1" s="299"/>
      <c r="S1" s="299"/>
      <c r="T1" s="299"/>
      <c r="U1" s="299"/>
      <c r="V1" s="299"/>
      <c r="W1" s="299"/>
      <c r="X1" s="299"/>
      <c r="Y1" s="299"/>
      <c r="Z1" s="299"/>
      <c r="AA1" s="299"/>
    </row>
    <row r="2" spans="1:27" ht="24" thickBot="1" x14ac:dyDescent="0.25">
      <c r="A2" s="286"/>
      <c r="B2" s="315" t="s">
        <v>1763</v>
      </c>
      <c r="C2" s="315"/>
      <c r="D2" s="316"/>
      <c r="E2" s="316"/>
      <c r="F2" s="287"/>
      <c r="G2" s="287"/>
      <c r="H2" s="707" t="s">
        <v>1944</v>
      </c>
      <c r="I2" s="708"/>
      <c r="J2" s="709"/>
      <c r="K2" s="299"/>
      <c r="L2" s="299"/>
      <c r="M2" s="593"/>
      <c r="N2" s="336"/>
      <c r="O2" s="299"/>
      <c r="P2" s="299"/>
      <c r="Q2" s="299"/>
      <c r="R2" s="299"/>
      <c r="S2" s="299"/>
      <c r="T2" s="299"/>
      <c r="U2" s="299"/>
      <c r="V2" s="299"/>
      <c r="W2" s="299"/>
      <c r="X2" s="299"/>
      <c r="Y2" s="299"/>
      <c r="Z2" s="299"/>
      <c r="AA2" s="299"/>
    </row>
    <row r="3" spans="1:27" ht="25" thickTop="1" thickBot="1" x14ac:dyDescent="0.25">
      <c r="A3" s="286"/>
      <c r="B3" s="1024" t="s">
        <v>1913</v>
      </c>
      <c r="C3" s="1025"/>
      <c r="D3" s="1025"/>
      <c r="E3" s="1025"/>
      <c r="F3" s="1025"/>
      <c r="G3" s="1025"/>
      <c r="H3" s="1025"/>
      <c r="I3" s="1025"/>
      <c r="J3" s="1025"/>
      <c r="K3" s="1025"/>
      <c r="L3" s="1025"/>
      <c r="M3" s="1026"/>
      <c r="N3" s="336"/>
      <c r="O3" s="992" t="s">
        <v>66</v>
      </c>
      <c r="P3" s="992"/>
      <c r="Q3" s="992"/>
      <c r="R3" s="992"/>
      <c r="S3" s="993"/>
      <c r="T3" s="299"/>
      <c r="U3" s="992" t="s">
        <v>102</v>
      </c>
      <c r="V3" s="992"/>
      <c r="W3" s="992"/>
      <c r="X3" s="993"/>
      <c r="Y3" s="497"/>
      <c r="Z3" s="336"/>
      <c r="AA3" s="299"/>
    </row>
    <row r="4" spans="1:27" ht="15" customHeight="1" thickTop="1" x14ac:dyDescent="0.2">
      <c r="A4" s="286"/>
      <c r="B4" s="580"/>
      <c r="C4" s="581"/>
      <c r="D4" s="595" t="s">
        <v>1863</v>
      </c>
      <c r="E4" s="1027">
        <v>10</v>
      </c>
      <c r="F4" s="1028"/>
      <c r="G4" s="1029"/>
      <c r="H4" s="581"/>
      <c r="I4" s="581"/>
      <c r="J4" s="581"/>
      <c r="K4" s="581"/>
      <c r="L4" s="581"/>
      <c r="M4" s="582"/>
      <c r="N4" s="336"/>
      <c r="O4" s="332"/>
      <c r="P4" s="333" t="s">
        <v>70</v>
      </c>
      <c r="Q4" s="334" t="s">
        <v>71</v>
      </c>
      <c r="R4" s="334" t="s">
        <v>72</v>
      </c>
      <c r="S4" s="335" t="s">
        <v>73</v>
      </c>
      <c r="T4" s="336"/>
      <c r="U4" s="1030" t="s">
        <v>103</v>
      </c>
      <c r="V4" s="1031"/>
      <c r="W4" s="1032">
        <f>INTAKE!E5</f>
        <v>0</v>
      </c>
      <c r="X4" s="1033"/>
      <c r="Y4" s="497"/>
      <c r="Z4" s="336"/>
      <c r="AA4" s="299"/>
    </row>
    <row r="5" spans="1:27" ht="15" customHeight="1" x14ac:dyDescent="0.2">
      <c r="A5" s="286"/>
      <c r="B5" s="573"/>
      <c r="C5" s="571"/>
      <c r="D5" s="570" t="s">
        <v>1852</v>
      </c>
      <c r="E5" s="569" t="s">
        <v>1853</v>
      </c>
      <c r="F5" s="575">
        <v>0.18</v>
      </c>
      <c r="G5" s="569" t="s">
        <v>1854</v>
      </c>
      <c r="H5" s="575">
        <v>0.18</v>
      </c>
      <c r="I5" s="569" t="s">
        <v>1855</v>
      </c>
      <c r="J5" s="601">
        <v>0.18</v>
      </c>
      <c r="K5" s="566"/>
      <c r="L5" s="566"/>
      <c r="M5" s="572"/>
      <c r="N5" s="336"/>
      <c r="O5" s="328" t="s">
        <v>77</v>
      </c>
      <c r="P5" s="329">
        <f>E24+E43+E62+E81+E100+E119+E138+E157+E176+E195</f>
        <v>164895.06999999998</v>
      </c>
      <c r="Q5" s="329">
        <f>I24+I43+I62+I81+I100+I119+I138+I157+I176+I195</f>
        <v>193621.56999999998</v>
      </c>
      <c r="R5" s="329">
        <f>Q5-P5</f>
        <v>28726.5</v>
      </c>
      <c r="S5" s="330">
        <f>R5/P5</f>
        <v>0.17421078750262214</v>
      </c>
      <c r="T5" s="336"/>
      <c r="U5" s="995" t="s">
        <v>11</v>
      </c>
      <c r="V5" s="996"/>
      <c r="W5" s="1020">
        <f>INTAKE!E7</f>
        <v>43101</v>
      </c>
      <c r="X5" s="1021"/>
      <c r="Y5" s="497"/>
      <c r="Z5" s="336"/>
      <c r="AA5" s="299"/>
    </row>
    <row r="6" spans="1:27" ht="15" customHeight="1" x14ac:dyDescent="0.2">
      <c r="A6" s="286"/>
      <c r="B6" s="703"/>
      <c r="C6" s="704"/>
      <c r="D6" s="705" t="s">
        <v>1856</v>
      </c>
      <c r="E6" s="574" t="s">
        <v>1853</v>
      </c>
      <c r="F6" s="701">
        <v>0.05</v>
      </c>
      <c r="G6" s="574" t="s">
        <v>1854</v>
      </c>
      <c r="H6" s="701">
        <v>0.25</v>
      </c>
      <c r="I6" s="574" t="s">
        <v>1857</v>
      </c>
      <c r="J6" s="575">
        <v>0</v>
      </c>
      <c r="K6" s="574" t="s">
        <v>1855</v>
      </c>
      <c r="L6" s="575">
        <v>0</v>
      </c>
      <c r="M6" s="592"/>
      <c r="N6" s="336"/>
      <c r="O6" s="328" t="s">
        <v>81</v>
      </c>
      <c r="P6" s="329">
        <f>E25+E44+E63+E82+E101+E120+E139+E158+E177+E196</f>
        <v>1978740.8399999999</v>
      </c>
      <c r="Q6" s="329">
        <f>I25+I44+I63+I82+I101+I120+I139+I158+I177+I196</f>
        <v>2323458.8399999994</v>
      </c>
      <c r="R6" s="329">
        <f>Q6-P6</f>
        <v>344717.99999999953</v>
      </c>
      <c r="S6" s="340">
        <f>R6/P6</f>
        <v>0.17421078750262189</v>
      </c>
      <c r="T6" s="336"/>
      <c r="U6" s="995" t="s">
        <v>104</v>
      </c>
      <c r="V6" s="996"/>
      <c r="W6" s="1022" t="str">
        <f>INTAKE!E11</f>
        <v>Willis Towers</v>
      </c>
      <c r="X6" s="1023"/>
      <c r="Y6" s="497"/>
      <c r="Z6" s="336"/>
      <c r="AA6" s="299"/>
    </row>
    <row r="7" spans="1:27" ht="15" customHeight="1" thickBot="1" x14ac:dyDescent="0.25">
      <c r="A7" s="286"/>
      <c r="B7" s="573"/>
      <c r="C7" s="566"/>
      <c r="D7" s="566"/>
      <c r="E7" s="566"/>
      <c r="F7" s="566"/>
      <c r="G7" s="566"/>
      <c r="H7" s="567"/>
      <c r="I7" s="567"/>
      <c r="J7" s="567"/>
      <c r="K7" s="567"/>
      <c r="L7" s="567"/>
      <c r="M7" s="568"/>
      <c r="N7" s="336"/>
      <c r="O7" s="328" t="s">
        <v>83</v>
      </c>
      <c r="P7" s="331">
        <f>G24+G43+G62+G81+G100+G119+G138+G157+G176+G195</f>
        <v>194576.1826</v>
      </c>
      <c r="Q7" s="331">
        <f>Q5</f>
        <v>193621.56999999998</v>
      </c>
      <c r="R7" s="329">
        <f>Q7-P7</f>
        <v>-954.61260000002221</v>
      </c>
      <c r="S7" s="330">
        <f>R7/P7</f>
        <v>-4.9061122859135704E-3</v>
      </c>
      <c r="T7" s="336"/>
      <c r="U7" s="995" t="s">
        <v>105</v>
      </c>
      <c r="V7" s="996"/>
      <c r="W7" s="1012">
        <f>INTAKE!N5</f>
        <v>182</v>
      </c>
      <c r="X7" s="1013"/>
      <c r="Y7" s="497"/>
      <c r="Z7" s="336"/>
      <c r="AA7" s="299"/>
    </row>
    <row r="8" spans="1:27" ht="15" customHeight="1" thickTop="1" thickBot="1" x14ac:dyDescent="0.25">
      <c r="A8" s="286"/>
      <c r="B8" s="1007" t="s">
        <v>67</v>
      </c>
      <c r="C8" s="1008"/>
      <c r="D8" s="980" t="s">
        <v>68</v>
      </c>
      <c r="E8" s="981"/>
      <c r="F8" s="981"/>
      <c r="G8" s="982"/>
      <c r="H8" s="1009" t="s">
        <v>69</v>
      </c>
      <c r="I8" s="1010"/>
      <c r="J8" s="1010"/>
      <c r="K8" s="1010"/>
      <c r="L8" s="1010"/>
      <c r="M8" s="1011"/>
      <c r="N8" s="336"/>
      <c r="O8" s="328" t="s">
        <v>84</v>
      </c>
      <c r="P8" s="331">
        <f>G25+G44+G63+G82+G101+G120+G139+G158+G177+G196</f>
        <v>2334914.1911999998</v>
      </c>
      <c r="Q8" s="331">
        <f>Q6</f>
        <v>2323458.8399999994</v>
      </c>
      <c r="R8" s="329">
        <f>Q8-P8</f>
        <v>-11455.351200000383</v>
      </c>
      <c r="S8" s="340">
        <f>R8/P8</f>
        <v>-4.9061122859136207E-3</v>
      </c>
      <c r="T8" s="336"/>
      <c r="U8" s="995" t="s">
        <v>106</v>
      </c>
      <c r="V8" s="996"/>
      <c r="W8" s="1012">
        <f>INTAKE!N6</f>
        <v>165</v>
      </c>
      <c r="X8" s="1013"/>
      <c r="Y8" s="497"/>
      <c r="Z8" s="336"/>
      <c r="AA8" s="299"/>
    </row>
    <row r="9" spans="1:27" ht="15" customHeight="1" thickTop="1" thickBot="1" x14ac:dyDescent="0.25">
      <c r="A9" s="286"/>
      <c r="B9" s="976"/>
      <c r="C9" s="977"/>
      <c r="D9" s="962" t="s">
        <v>74</v>
      </c>
      <c r="E9" s="963"/>
      <c r="F9" s="966" t="s">
        <v>75</v>
      </c>
      <c r="G9" s="967"/>
      <c r="H9" s="970" t="s">
        <v>76</v>
      </c>
      <c r="I9" s="971"/>
      <c r="J9" s="972" t="s">
        <v>1735</v>
      </c>
      <c r="K9" s="973"/>
      <c r="L9" s="970" t="s">
        <v>1736</v>
      </c>
      <c r="M9" s="971"/>
      <c r="N9" s="336"/>
      <c r="O9" s="497"/>
      <c r="P9" s="497"/>
      <c r="Q9" s="497"/>
      <c r="R9" s="497"/>
      <c r="S9" s="497"/>
      <c r="T9" s="336"/>
      <c r="U9" s="995" t="s">
        <v>107</v>
      </c>
      <c r="V9" s="996"/>
      <c r="W9" s="1014" t="str">
        <f>INTAKE!E43</f>
        <v>Select One</v>
      </c>
      <c r="X9" s="1015"/>
      <c r="Y9" s="497"/>
      <c r="Z9" s="336"/>
      <c r="AA9" s="299"/>
    </row>
    <row r="10" spans="1:27" ht="15" customHeight="1" thickTop="1" thickBot="1" x14ac:dyDescent="0.25">
      <c r="A10" s="286"/>
      <c r="B10" s="976"/>
      <c r="C10" s="977"/>
      <c r="D10" s="964"/>
      <c r="E10" s="965"/>
      <c r="F10" s="968"/>
      <c r="G10" s="969"/>
      <c r="H10" s="343" t="s">
        <v>1732</v>
      </c>
      <c r="I10" s="260" t="s">
        <v>142</v>
      </c>
      <c r="J10" s="345" t="s">
        <v>1733</v>
      </c>
      <c r="K10" s="577">
        <f>IF(E11=0,0,VLOOKUP(E11,RBRATES,2,0))</f>
        <v>0.05</v>
      </c>
      <c r="L10" s="343" t="s">
        <v>80</v>
      </c>
      <c r="M10" s="510">
        <f>$Z$18</f>
        <v>0</v>
      </c>
      <c r="N10" s="336"/>
      <c r="O10" s="992" t="s">
        <v>86</v>
      </c>
      <c r="P10" s="992"/>
      <c r="Q10" s="992"/>
      <c r="R10" s="992"/>
      <c r="S10" s="993"/>
      <c r="T10" s="336"/>
      <c r="U10" s="995" t="s">
        <v>108</v>
      </c>
      <c r="V10" s="996"/>
      <c r="W10" s="1036" t="s">
        <v>1943</v>
      </c>
      <c r="X10" s="1037"/>
      <c r="Y10" s="497"/>
      <c r="Z10" s="336"/>
      <c r="AA10" s="299"/>
    </row>
    <row r="11" spans="1:27" ht="15" customHeight="1" thickTop="1" thickBot="1" x14ac:dyDescent="0.25">
      <c r="A11" s="286"/>
      <c r="B11" s="978"/>
      <c r="C11" s="979"/>
      <c r="D11" s="565" t="s">
        <v>1850</v>
      </c>
      <c r="E11" s="562" t="str">
        <f>INTAKE!C17</f>
        <v>HMO</v>
      </c>
      <c r="F11" s="342" t="s">
        <v>78</v>
      </c>
      <c r="G11" s="564">
        <f>IF(E11="HMO",$F$5,IF(E11="PPO",$H$5,IF(E11="CDHP",$J$5)))</f>
        <v>0.18</v>
      </c>
      <c r="H11" s="344" t="s">
        <v>82</v>
      </c>
      <c r="I11" s="716" t="s">
        <v>1940</v>
      </c>
      <c r="J11" s="947"/>
      <c r="K11" s="948"/>
      <c r="L11" s="949"/>
      <c r="M11" s="950"/>
      <c r="N11" s="336"/>
      <c r="O11" s="332"/>
      <c r="P11" s="333" t="s">
        <v>70</v>
      </c>
      <c r="Q11" s="334" t="s">
        <v>88</v>
      </c>
      <c r="R11" s="334" t="s">
        <v>72</v>
      </c>
      <c r="S11" s="335" t="s">
        <v>73</v>
      </c>
      <c r="T11" s="336"/>
      <c r="U11" s="995" t="s">
        <v>109</v>
      </c>
      <c r="V11" s="996"/>
      <c r="W11" s="1018">
        <f>G11</f>
        <v>0.18</v>
      </c>
      <c r="X11" s="1019"/>
      <c r="Y11" s="497"/>
      <c r="Z11" s="336"/>
      <c r="AA11" s="299"/>
    </row>
    <row r="12" spans="1:27" ht="15" customHeight="1" thickTop="1" x14ac:dyDescent="0.2">
      <c r="A12" s="286"/>
      <c r="B12" s="951" t="s">
        <v>32</v>
      </c>
      <c r="C12" s="952"/>
      <c r="D12" s="999" t="str">
        <f>INTAKE!D17</f>
        <v>HIGH HMO</v>
      </c>
      <c r="E12" s="1000"/>
      <c r="F12" s="1001"/>
      <c r="G12" s="1002"/>
      <c r="H12" s="1034" t="str">
        <f>VLOOKUP(I10,[3]PLANS!$A$1:$H$107,2,FALSE)</f>
        <v>Classic HMO 20/40/250 admit/125 OP</v>
      </c>
      <c r="I12" s="1035"/>
      <c r="J12" s="919" t="str">
        <f t="shared" ref="J12:J18" si="0">H12</f>
        <v>Classic HMO 20/40/250 admit/125 OP</v>
      </c>
      <c r="K12" s="991"/>
      <c r="L12" s="921" t="str">
        <f t="shared" ref="L12:L18" si="1">H12</f>
        <v>Classic HMO 20/40/250 admit/125 OP</v>
      </c>
      <c r="M12" s="918"/>
      <c r="N12" s="336"/>
      <c r="O12" s="328" t="s">
        <v>77</v>
      </c>
      <c r="P12" s="329">
        <f>P5</f>
        <v>164895.06999999998</v>
      </c>
      <c r="Q12" s="329">
        <f>SUM(K24+K43+K62+K81+K100+K119+K138+K157+K176+K195)</f>
        <v>180434.22309999994</v>
      </c>
      <c r="R12" s="329">
        <f>Q12-P12</f>
        <v>15539.153099999967</v>
      </c>
      <c r="S12" s="330">
        <f>R12/P12</f>
        <v>9.4236614229885524E-2</v>
      </c>
      <c r="T12" s="336"/>
      <c r="U12" s="995" t="s">
        <v>110</v>
      </c>
      <c r="V12" s="996"/>
      <c r="W12" s="997">
        <f>Q6-Q13</f>
        <v>158248.16279999958</v>
      </c>
      <c r="X12" s="998"/>
      <c r="Y12" s="497"/>
      <c r="Z12" s="336"/>
      <c r="AA12" s="299"/>
    </row>
    <row r="13" spans="1:27" ht="15" customHeight="1" x14ac:dyDescent="0.2">
      <c r="A13" s="286"/>
      <c r="B13" s="938" t="s">
        <v>36</v>
      </c>
      <c r="C13" s="939"/>
      <c r="D13" s="936" t="str">
        <f>INTAKE!N$17</f>
        <v>0</v>
      </c>
      <c r="E13" s="937"/>
      <c r="F13" s="1003"/>
      <c r="G13" s="1004"/>
      <c r="H13" s="917">
        <f>VLOOKUP(I10,[3]PLANS!$A$1:$H$107,3,FALSE)</f>
        <v>0</v>
      </c>
      <c r="I13" s="918"/>
      <c r="J13" s="919">
        <f t="shared" si="0"/>
        <v>0</v>
      </c>
      <c r="K13" s="991"/>
      <c r="L13" s="921">
        <f t="shared" si="1"/>
        <v>0</v>
      </c>
      <c r="M13" s="918"/>
      <c r="N13" s="336"/>
      <c r="O13" s="328" t="s">
        <v>81</v>
      </c>
      <c r="P13" s="329">
        <f>P6</f>
        <v>1978740.8399999999</v>
      </c>
      <c r="Q13" s="329">
        <f>SUM(K25+K44+K63+K82+K101+K120+K139+K158+K177+K196)</f>
        <v>2165210.6771999998</v>
      </c>
      <c r="R13" s="329">
        <f>Q13-P13</f>
        <v>186469.83719999995</v>
      </c>
      <c r="S13" s="340">
        <f>R13/P13</f>
        <v>9.423661422988569E-2</v>
      </c>
      <c r="T13" s="336"/>
      <c r="U13" s="497"/>
      <c r="V13" s="497"/>
      <c r="W13" s="497"/>
      <c r="X13" s="497"/>
      <c r="Y13" s="497"/>
      <c r="Z13" s="336"/>
      <c r="AA13" s="299"/>
    </row>
    <row r="14" spans="1:27" ht="15" customHeight="1" thickBot="1" x14ac:dyDescent="0.25">
      <c r="A14" s="286"/>
      <c r="B14" s="945" t="s">
        <v>37</v>
      </c>
      <c r="C14" s="946"/>
      <c r="D14" s="936" t="str">
        <f>INTAKE!O$17</f>
        <v>2X2</v>
      </c>
      <c r="E14" s="937"/>
      <c r="F14" s="1003"/>
      <c r="G14" s="1004"/>
      <c r="H14" s="917" t="str">
        <f>VLOOKUP(I10,[3]PLANS!$A$1:$H$107,4,FALSE)</f>
        <v>$2000/$4000</v>
      </c>
      <c r="I14" s="918"/>
      <c r="J14" s="919" t="str">
        <f t="shared" si="0"/>
        <v>$2000/$4000</v>
      </c>
      <c r="K14" s="991"/>
      <c r="L14" s="921" t="str">
        <f t="shared" si="1"/>
        <v>$2000/$4000</v>
      </c>
      <c r="M14" s="918"/>
      <c r="N14" s="336"/>
      <c r="O14" s="328" t="s">
        <v>83</v>
      </c>
      <c r="P14" s="331">
        <f>P7</f>
        <v>194576.1826</v>
      </c>
      <c r="Q14" s="331">
        <f>Q12</f>
        <v>180434.22309999994</v>
      </c>
      <c r="R14" s="329">
        <f>Q14-P14</f>
        <v>-14141.959500000055</v>
      </c>
      <c r="S14" s="330">
        <f>R14/P14</f>
        <v>-7.2680835398402227E-2</v>
      </c>
      <c r="T14" s="336"/>
      <c r="U14" s="497"/>
      <c r="V14" s="497"/>
      <c r="W14" s="497"/>
      <c r="X14" s="497"/>
      <c r="Y14" s="497"/>
      <c r="Z14" s="336"/>
      <c r="AA14" s="299"/>
    </row>
    <row r="15" spans="1:27" ht="15" customHeight="1" thickTop="1" thickBot="1" x14ac:dyDescent="0.25">
      <c r="A15" s="286"/>
      <c r="B15" s="934" t="s">
        <v>38</v>
      </c>
      <c r="C15" s="935"/>
      <c r="D15" s="915" t="str">
        <f>INTAKE!P$17</f>
        <v>$30</v>
      </c>
      <c r="E15" s="916"/>
      <c r="F15" s="1003"/>
      <c r="G15" s="1004"/>
      <c r="H15" s="917" t="str">
        <f>VLOOKUP(I10,[3]PLANS!$A$1:$H$107,5,FALSE)</f>
        <v>$20/$40</v>
      </c>
      <c r="I15" s="918"/>
      <c r="J15" s="919" t="str">
        <f t="shared" si="0"/>
        <v>$20/$40</v>
      </c>
      <c r="K15" s="991"/>
      <c r="L15" s="921" t="str">
        <f t="shared" si="1"/>
        <v>$20/$40</v>
      </c>
      <c r="M15" s="918"/>
      <c r="N15" s="336"/>
      <c r="O15" s="328" t="s">
        <v>84</v>
      </c>
      <c r="P15" s="331">
        <f>P8</f>
        <v>2334914.1911999998</v>
      </c>
      <c r="Q15" s="331">
        <f>Q13</f>
        <v>2165210.6771999998</v>
      </c>
      <c r="R15" s="329">
        <f>Q15-P15</f>
        <v>-169703.51399999997</v>
      </c>
      <c r="S15" s="340">
        <f>R15/P15</f>
        <v>-7.2680835398401936E-2</v>
      </c>
      <c r="T15" s="336"/>
      <c r="U15" s="992" t="s">
        <v>1864</v>
      </c>
      <c r="V15" s="992"/>
      <c r="W15" s="992"/>
      <c r="X15" s="992"/>
      <c r="Y15" s="992"/>
      <c r="Z15" s="993"/>
      <c r="AA15" s="299"/>
    </row>
    <row r="16" spans="1:27" ht="15" customHeight="1" thickTop="1" thickBot="1" x14ac:dyDescent="0.25">
      <c r="A16" s="286"/>
      <c r="B16" s="934" t="s">
        <v>39</v>
      </c>
      <c r="C16" s="935"/>
      <c r="D16" s="915" t="str">
        <f>INTAKE!Q$17</f>
        <v>$500</v>
      </c>
      <c r="E16" s="916"/>
      <c r="F16" s="1003"/>
      <c r="G16" s="1004"/>
      <c r="H16" s="917" t="str">
        <f>VLOOKUP(I10,[3]PLANS!$A$1:$H$107,6,FALSE)</f>
        <v>$250 per Admit</v>
      </c>
      <c r="I16" s="918"/>
      <c r="J16" s="919" t="str">
        <f t="shared" si="0"/>
        <v>$250 per Admit</v>
      </c>
      <c r="K16" s="991"/>
      <c r="L16" s="921" t="str">
        <f t="shared" si="1"/>
        <v>$250 per Admit</v>
      </c>
      <c r="M16" s="918"/>
      <c r="N16" s="336"/>
      <c r="O16" s="497"/>
      <c r="P16" s="497"/>
      <c r="Q16" s="497"/>
      <c r="R16" s="497"/>
      <c r="S16" s="497"/>
      <c r="T16" s="336"/>
      <c r="U16" s="337" t="s">
        <v>54</v>
      </c>
      <c r="V16" s="338" t="s">
        <v>55</v>
      </c>
      <c r="W16" s="338" t="s">
        <v>111</v>
      </c>
      <c r="X16" s="338" t="s">
        <v>112</v>
      </c>
      <c r="Y16" s="338" t="s">
        <v>113</v>
      </c>
      <c r="Z16" s="339"/>
      <c r="AA16" s="299"/>
    </row>
    <row r="17" spans="1:27" ht="15" customHeight="1" thickTop="1" thickBot="1" x14ac:dyDescent="0.25">
      <c r="A17" s="286"/>
      <c r="B17" s="934" t="s">
        <v>90</v>
      </c>
      <c r="C17" s="935"/>
      <c r="D17" s="936" t="str">
        <f>INTAKE!R$17</f>
        <v>$250</v>
      </c>
      <c r="E17" s="937"/>
      <c r="F17" s="1003"/>
      <c r="G17" s="1004"/>
      <c r="H17" s="917" t="str">
        <f>VLOOKUP(I10,[3]PLANS!$A$1:$H$107,7,FALSE)</f>
        <v>$125 per Admit</v>
      </c>
      <c r="I17" s="918"/>
      <c r="J17" s="919" t="str">
        <f t="shared" si="0"/>
        <v>$125 per Admit</v>
      </c>
      <c r="K17" s="991"/>
      <c r="L17" s="921" t="str">
        <f t="shared" si="1"/>
        <v>$125 per Admit</v>
      </c>
      <c r="M17" s="918"/>
      <c r="N17" s="336"/>
      <c r="O17" s="992" t="s">
        <v>97</v>
      </c>
      <c r="P17" s="992"/>
      <c r="Q17" s="992"/>
      <c r="R17" s="992"/>
      <c r="S17" s="993"/>
      <c r="T17" s="336"/>
      <c r="U17" s="596"/>
      <c r="V17" s="597"/>
      <c r="W17" s="597"/>
      <c r="X17" s="597"/>
      <c r="Y17" s="597"/>
      <c r="Z17" s="598">
        <f>SUM(U18:Y18)*0.01</f>
        <v>0</v>
      </c>
      <c r="AA17" s="299"/>
    </row>
    <row r="18" spans="1:27" ht="15" customHeight="1" thickTop="1" thickBot="1" x14ac:dyDescent="0.25">
      <c r="A18" s="286"/>
      <c r="B18" s="938" t="s">
        <v>92</v>
      </c>
      <c r="C18" s="939"/>
      <c r="D18" s="936" t="str">
        <f>INTAKE!S$17</f>
        <v>$10/20/35</v>
      </c>
      <c r="E18" s="937"/>
      <c r="F18" s="1005"/>
      <c r="G18" s="1006"/>
      <c r="H18" s="940" t="str">
        <f>VLOOKUP(I10,[3]PLANS!$A$1:$H$107,8,FALSE)</f>
        <v xml:space="preserve">$5/$15/$30/$50/30% Essential </v>
      </c>
      <c r="I18" s="941"/>
      <c r="J18" s="942" t="str">
        <f t="shared" si="0"/>
        <v xml:space="preserve">$5/$15/$30/$50/30% Essential </v>
      </c>
      <c r="K18" s="994"/>
      <c r="L18" s="944" t="str">
        <f t="shared" si="1"/>
        <v xml:space="preserve">$5/$15/$30/$50/30% Essential </v>
      </c>
      <c r="M18" s="941"/>
      <c r="N18" s="336"/>
      <c r="O18" s="332"/>
      <c r="P18" s="333" t="s">
        <v>70</v>
      </c>
      <c r="Q18" s="334" t="s">
        <v>99</v>
      </c>
      <c r="R18" s="334" t="s">
        <v>72</v>
      </c>
      <c r="S18" s="335" t="s">
        <v>73</v>
      </c>
      <c r="T18" s="336"/>
      <c r="U18" s="600" t="str">
        <f>IF(U17="","",1)</f>
        <v/>
      </c>
      <c r="V18" s="600" t="str">
        <f t="shared" ref="V18:W18" si="2">IF(V17="","",1)</f>
        <v/>
      </c>
      <c r="W18" s="600" t="str">
        <f t="shared" si="2"/>
        <v/>
      </c>
      <c r="X18" s="600" t="str">
        <f>IF(X17="","",0.5)</f>
        <v/>
      </c>
      <c r="Y18" s="600" t="str">
        <f>IF(Y17="","",0.5)</f>
        <v/>
      </c>
      <c r="Z18" s="599"/>
      <c r="AA18" s="299"/>
    </row>
    <row r="19" spans="1:27" ht="15" customHeight="1" thickTop="1" thickBot="1" x14ac:dyDescent="0.25">
      <c r="A19" s="286"/>
      <c r="B19" s="922" t="s">
        <v>93</v>
      </c>
      <c r="C19" s="923"/>
      <c r="D19" s="245" t="s">
        <v>29</v>
      </c>
      <c r="E19" s="246" t="s">
        <v>94</v>
      </c>
      <c r="F19" s="247" t="s">
        <v>29</v>
      </c>
      <c r="G19" s="248" t="s">
        <v>94</v>
      </c>
      <c r="H19" s="366" t="s">
        <v>29</v>
      </c>
      <c r="I19" s="249" t="s">
        <v>94</v>
      </c>
      <c r="J19" s="250" t="s">
        <v>29</v>
      </c>
      <c r="K19" s="251" t="s">
        <v>94</v>
      </c>
      <c r="L19" s="252" t="s">
        <v>29</v>
      </c>
      <c r="M19" s="249" t="s">
        <v>94</v>
      </c>
      <c r="N19" s="336"/>
      <c r="O19" s="328" t="s">
        <v>77</v>
      </c>
      <c r="P19" s="329">
        <f>P5</f>
        <v>164895.06999999998</v>
      </c>
      <c r="Q19" s="329">
        <f>M24+M43+M62+M81+M100+M119+M138+M157+M176+M195</f>
        <v>0</v>
      </c>
      <c r="R19" s="329">
        <f>Q19-P19</f>
        <v>-164895.06999999998</v>
      </c>
      <c r="S19" s="330">
        <f>R19/P19</f>
        <v>-1</v>
      </c>
      <c r="T19" s="509"/>
      <c r="U19" s="992" t="s">
        <v>1916</v>
      </c>
      <c r="V19" s="992"/>
      <c r="W19" s="992"/>
      <c r="X19" s="993"/>
      <c r="Y19" s="498"/>
      <c r="Z19" s="498"/>
      <c r="AA19" s="498"/>
    </row>
    <row r="20" spans="1:27" ht="15" customHeight="1" thickTop="1" thickBot="1" x14ac:dyDescent="0.25">
      <c r="A20" s="286"/>
      <c r="B20" s="240" t="s">
        <v>95</v>
      </c>
      <c r="C20" s="237">
        <f>INTAKE!I$18</f>
        <v>11</v>
      </c>
      <c r="D20" s="236">
        <f>INTAKE!I17</f>
        <v>641</v>
      </c>
      <c r="E20" s="234">
        <f>C20*D20</f>
        <v>7051</v>
      </c>
      <c r="F20" s="233">
        <f>SUM(1+G11/1)*D20</f>
        <v>756.38</v>
      </c>
      <c r="G20" s="364">
        <f>C20*F20</f>
        <v>8320.18</v>
      </c>
      <c r="H20" s="717">
        <v>707.12</v>
      </c>
      <c r="I20" s="365">
        <f>C20*H20</f>
        <v>7778.32</v>
      </c>
      <c r="J20" s="230">
        <f>IF($U$20&lt;0%,0,SUM(H20)*(1-K10)*1)</f>
        <v>671.76400000000001</v>
      </c>
      <c r="K20" s="231">
        <f>IF(J20=0,0,C20*J20)</f>
        <v>7389.4040000000005</v>
      </c>
      <c r="L20" s="244">
        <f>IF($Z$17=0,0,SUM(J20)*(1-M10)*1)</f>
        <v>0</v>
      </c>
      <c r="M20" s="242">
        <f>C20*L20</f>
        <v>0</v>
      </c>
      <c r="N20" s="336"/>
      <c r="O20" s="328" t="s">
        <v>81</v>
      </c>
      <c r="P20" s="329">
        <f>P6</f>
        <v>1978740.8399999999</v>
      </c>
      <c r="Q20" s="329">
        <f>M25+M44+M63+M82+M101+M120+M139+M158+M177+M196</f>
        <v>0</v>
      </c>
      <c r="R20" s="329">
        <f>Q20-P20</f>
        <v>-1978740.8399999999</v>
      </c>
      <c r="S20" s="340">
        <f>R20/P20</f>
        <v>-1</v>
      </c>
      <c r="T20" s="336"/>
      <c r="U20" s="700">
        <f>SUM(F6+H6+J6)</f>
        <v>0.3</v>
      </c>
      <c r="V20" s="498"/>
      <c r="W20" s="498"/>
      <c r="X20" s="498"/>
      <c r="Y20" s="498"/>
      <c r="Z20" s="498"/>
      <c r="AA20" s="498"/>
    </row>
    <row r="21" spans="1:27" ht="15" customHeight="1" x14ac:dyDescent="0.2">
      <c r="A21" s="286"/>
      <c r="B21" s="240" t="s">
        <v>96</v>
      </c>
      <c r="C21" s="237">
        <f>INTAKE!J$18</f>
        <v>6</v>
      </c>
      <c r="D21" s="236">
        <f>INTAKE!J17</f>
        <v>1442.27</v>
      </c>
      <c r="E21" s="234">
        <f t="shared" ref="E21:E23" si="3">C21*D21</f>
        <v>8653.619999999999</v>
      </c>
      <c r="F21" s="233">
        <f>SUM(1+G11/1)*D21</f>
        <v>1701.8785999999998</v>
      </c>
      <c r="G21" s="232">
        <f t="shared" ref="G21:G23" si="4">C21*F21</f>
        <v>10211.271599999998</v>
      </c>
      <c r="H21" s="718">
        <f>2.2*H20</f>
        <v>1555.6640000000002</v>
      </c>
      <c r="I21" s="242">
        <f>C21*H21</f>
        <v>9333.9840000000004</v>
      </c>
      <c r="J21" s="230">
        <f>IF($U$20&lt;0%,0,SUM(H21)*(1-K10)*1)</f>
        <v>1477.8808000000001</v>
      </c>
      <c r="K21" s="231">
        <f t="shared" ref="K21:K23" si="5">IF(J21=0,0,C21*J21)</f>
        <v>8867.2848000000013</v>
      </c>
      <c r="L21" s="244">
        <f>IF($Z$17=0,0,SUM(J21)*(1-M10)*1)</f>
        <v>0</v>
      </c>
      <c r="M21" s="242">
        <f>C21*L21</f>
        <v>0</v>
      </c>
      <c r="N21" s="336"/>
      <c r="O21" s="328" t="s">
        <v>83</v>
      </c>
      <c r="P21" s="331">
        <f>P7</f>
        <v>194576.1826</v>
      </c>
      <c r="Q21" s="331">
        <f>Q19</f>
        <v>0</v>
      </c>
      <c r="R21" s="329">
        <f>Q21-P21</f>
        <v>-194576.1826</v>
      </c>
      <c r="S21" s="330">
        <f>R21/P21</f>
        <v>-1</v>
      </c>
      <c r="T21" s="336"/>
      <c r="U21" s="498"/>
      <c r="V21" s="498"/>
      <c r="W21" s="498"/>
      <c r="X21" s="498"/>
      <c r="Y21" s="498"/>
      <c r="Z21" s="498"/>
      <c r="AA21" s="498"/>
    </row>
    <row r="22" spans="1:27" ht="15" customHeight="1" x14ac:dyDescent="0.2">
      <c r="A22" s="286"/>
      <c r="B22" s="240" t="s">
        <v>98</v>
      </c>
      <c r="C22" s="237">
        <f>INTAKE!K$18</f>
        <v>1</v>
      </c>
      <c r="D22" s="236">
        <f>INTAKE!K17</f>
        <v>1249.96</v>
      </c>
      <c r="E22" s="234">
        <f t="shared" si="3"/>
        <v>1249.96</v>
      </c>
      <c r="F22" s="233">
        <f>SUM(1+G11/1)*D22</f>
        <v>1474.9528</v>
      </c>
      <c r="G22" s="232">
        <f t="shared" si="4"/>
        <v>1474.9528</v>
      </c>
      <c r="H22" s="719">
        <f>1.8*H20</f>
        <v>1272.816</v>
      </c>
      <c r="I22" s="242">
        <f>C22*H22</f>
        <v>1272.816</v>
      </c>
      <c r="J22" s="230">
        <f>IF($U$20&lt;0%,0,SUM(H22)*(1-K10)*1)</f>
        <v>1209.1751999999999</v>
      </c>
      <c r="K22" s="231">
        <f t="shared" si="5"/>
        <v>1209.1751999999999</v>
      </c>
      <c r="L22" s="244">
        <f>IF($Z$17=0,0,SUM(J22)*(1-M10)*1)</f>
        <v>0</v>
      </c>
      <c r="M22" s="242">
        <f>C22*L22</f>
        <v>0</v>
      </c>
      <c r="N22" s="336"/>
      <c r="O22" s="328" t="s">
        <v>84</v>
      </c>
      <c r="P22" s="331">
        <f>P8</f>
        <v>2334914.1911999998</v>
      </c>
      <c r="Q22" s="331">
        <f>Q20</f>
        <v>0</v>
      </c>
      <c r="R22" s="329">
        <f>Q22-P22</f>
        <v>-2334914.1911999998</v>
      </c>
      <c r="S22" s="340">
        <f>R22/P22</f>
        <v>-1</v>
      </c>
      <c r="T22" s="336"/>
      <c r="U22" s="498"/>
      <c r="V22" s="498"/>
      <c r="W22" s="498"/>
      <c r="X22" s="498"/>
      <c r="Y22" s="498"/>
      <c r="Z22" s="498"/>
      <c r="AA22" s="498"/>
    </row>
    <row r="23" spans="1:27" ht="15" customHeight="1" x14ac:dyDescent="0.2">
      <c r="A23" s="286"/>
      <c r="B23" s="240" t="s">
        <v>100</v>
      </c>
      <c r="C23" s="237">
        <f>INTAKE!L$18</f>
        <v>2</v>
      </c>
      <c r="D23" s="357">
        <f>INTAKE!L17</f>
        <v>1999.64</v>
      </c>
      <c r="E23" s="234">
        <f t="shared" si="3"/>
        <v>3999.28</v>
      </c>
      <c r="F23" s="361">
        <f>SUM(1+G11/1)*D23</f>
        <v>2359.5751999999998</v>
      </c>
      <c r="G23" s="232">
        <f t="shared" si="4"/>
        <v>4719.1503999999995</v>
      </c>
      <c r="H23" s="719">
        <f>3.1*H20</f>
        <v>2192.0720000000001</v>
      </c>
      <c r="I23" s="242">
        <f>C23*H23</f>
        <v>4384.1440000000002</v>
      </c>
      <c r="J23" s="230">
        <f>IF($U$20&lt;0%,0,SUM(H23)*(1-K10)*1)</f>
        <v>2082.4684000000002</v>
      </c>
      <c r="K23" s="231">
        <f t="shared" si="5"/>
        <v>4164.9368000000004</v>
      </c>
      <c r="L23" s="244">
        <f>IF($Z$17=0,0,SUM(J23)*(1-M10)*1)</f>
        <v>0</v>
      </c>
      <c r="M23" s="242">
        <f>C23*L23</f>
        <v>0</v>
      </c>
      <c r="N23" s="336"/>
      <c r="O23" s="590"/>
      <c r="P23" s="591"/>
      <c r="Q23" s="591"/>
      <c r="R23" s="591"/>
      <c r="S23" s="591"/>
      <c r="T23" s="336"/>
      <c r="U23" s="299"/>
      <c r="V23" s="498"/>
      <c r="W23" s="498"/>
      <c r="X23" s="498"/>
      <c r="Y23" s="498"/>
      <c r="Z23" s="498"/>
      <c r="AA23" s="498"/>
    </row>
    <row r="24" spans="1:27" ht="15" customHeight="1" x14ac:dyDescent="0.2">
      <c r="A24" s="286"/>
      <c r="B24" s="924"/>
      <c r="C24" s="925"/>
      <c r="D24" s="358" t="s">
        <v>1734</v>
      </c>
      <c r="E24" s="356">
        <f>SUM(E20:E23)</f>
        <v>20953.859999999997</v>
      </c>
      <c r="F24" s="362" t="s">
        <v>1734</v>
      </c>
      <c r="G24" s="360">
        <f>SUM(G20:G23)</f>
        <v>24725.554799999998</v>
      </c>
      <c r="H24" s="346" t="s">
        <v>1734</v>
      </c>
      <c r="I24" s="347">
        <f>SUM(I20:I23)</f>
        <v>22769.263999999999</v>
      </c>
      <c r="J24" s="350" t="s">
        <v>1734</v>
      </c>
      <c r="K24" s="351">
        <f>IF($M$6&lt;0%=0,0,SUM(K20:K23))</f>
        <v>21630.800800000001</v>
      </c>
      <c r="L24" s="352" t="s">
        <v>1734</v>
      </c>
      <c r="M24" s="347">
        <f>SUM(M20:M23)</f>
        <v>0</v>
      </c>
      <c r="N24" s="336"/>
      <c r="O24" s="498"/>
      <c r="P24" s="498"/>
      <c r="Q24" s="498"/>
      <c r="R24" s="498"/>
      <c r="S24" s="498"/>
      <c r="T24" s="498"/>
      <c r="U24" s="299"/>
      <c r="V24" s="498"/>
      <c r="W24" s="498"/>
      <c r="X24" s="498"/>
      <c r="Y24" s="498"/>
      <c r="Z24" s="498"/>
      <c r="AA24" s="498"/>
    </row>
    <row r="25" spans="1:27" ht="15" customHeight="1" x14ac:dyDescent="0.2">
      <c r="A25" s="286"/>
      <c r="B25" s="926"/>
      <c r="C25" s="927"/>
      <c r="D25" s="358" t="s">
        <v>1767</v>
      </c>
      <c r="E25" s="359">
        <f>E24*12</f>
        <v>251446.31999999995</v>
      </c>
      <c r="F25" s="362" t="s">
        <v>1767</v>
      </c>
      <c r="G25" s="363">
        <f>G24*12</f>
        <v>296706.65759999998</v>
      </c>
      <c r="H25" s="348" t="s">
        <v>1767</v>
      </c>
      <c r="I25" s="349">
        <f>I24*12</f>
        <v>273231.16800000001</v>
      </c>
      <c r="J25" s="353" t="s">
        <v>1767</v>
      </c>
      <c r="K25" s="354">
        <f>K24*12</f>
        <v>259569.60960000003</v>
      </c>
      <c r="L25" s="355" t="s">
        <v>1767</v>
      </c>
      <c r="M25" s="349">
        <f>M24*12</f>
        <v>0</v>
      </c>
      <c r="N25" s="336"/>
      <c r="O25" s="498"/>
      <c r="P25" s="498"/>
      <c r="Q25" s="498"/>
      <c r="R25" s="498"/>
      <c r="S25" s="498"/>
      <c r="T25" s="498"/>
      <c r="U25" s="299"/>
      <c r="V25" s="498"/>
      <c r="W25" s="498"/>
      <c r="X25" s="498"/>
      <c r="Y25" s="498"/>
      <c r="Z25" s="498"/>
      <c r="AA25" s="498"/>
    </row>
    <row r="26" spans="1:27" ht="15" customHeight="1" thickBot="1" x14ac:dyDescent="0.25">
      <c r="A26" s="286"/>
      <c r="B26" s="928"/>
      <c r="C26" s="929"/>
      <c r="D26" s="930"/>
      <c r="E26" s="931"/>
      <c r="F26" s="932"/>
      <c r="G26" s="933"/>
      <c r="H26" s="255" t="s">
        <v>1731</v>
      </c>
      <c r="I26" s="256">
        <f>IF(I24&lt;1,"",(E25-I25)/E25*-1)</f>
        <v>8.6638165951285595E-2</v>
      </c>
      <c r="J26" s="257" t="s">
        <v>1731</v>
      </c>
      <c r="K26" s="258">
        <f>IF(K25=0,0,(E25-K25)/E25*-1)</f>
        <v>3.2306257653721394E-2</v>
      </c>
      <c r="L26" s="259" t="s">
        <v>1731</v>
      </c>
      <c r="M26" s="256">
        <f>IF(I24=0,0,(E25-M25)/E25*-1)</f>
        <v>-1</v>
      </c>
      <c r="N26" s="336"/>
      <c r="O26" s="498"/>
      <c r="P26" s="498"/>
      <c r="Q26" s="498"/>
      <c r="R26" s="498"/>
      <c r="S26" s="498"/>
      <c r="T26" s="498"/>
      <c r="U26" s="299"/>
      <c r="V26" s="498"/>
      <c r="W26" s="498"/>
      <c r="X26" s="498"/>
      <c r="Y26" s="498"/>
      <c r="Z26" s="498"/>
      <c r="AA26" s="498"/>
    </row>
    <row r="27" spans="1:27" ht="15" customHeight="1" thickTop="1" thickBot="1" x14ac:dyDescent="0.25">
      <c r="A27" s="286"/>
      <c r="B27" s="974" t="s">
        <v>101</v>
      </c>
      <c r="C27" s="975"/>
      <c r="D27" s="980" t="s">
        <v>68</v>
      </c>
      <c r="E27" s="981"/>
      <c r="F27" s="981"/>
      <c r="G27" s="982"/>
      <c r="H27" s="959" t="s">
        <v>69</v>
      </c>
      <c r="I27" s="960"/>
      <c r="J27" s="960"/>
      <c r="K27" s="960"/>
      <c r="L27" s="960"/>
      <c r="M27" s="961"/>
      <c r="N27" s="336"/>
      <c r="O27" s="498"/>
      <c r="P27" s="498"/>
      <c r="Q27" s="498"/>
      <c r="R27" s="498"/>
      <c r="S27" s="498"/>
      <c r="T27" s="498"/>
      <c r="U27" s="299"/>
      <c r="V27" s="498"/>
      <c r="W27" s="498"/>
      <c r="X27" s="498"/>
      <c r="Y27" s="498"/>
      <c r="Z27" s="498"/>
      <c r="AA27" s="498"/>
    </row>
    <row r="28" spans="1:27" ht="15" customHeight="1" thickTop="1" thickBot="1" x14ac:dyDescent="0.25">
      <c r="A28" s="286"/>
      <c r="B28" s="976"/>
      <c r="C28" s="977"/>
      <c r="D28" s="962" t="s">
        <v>74</v>
      </c>
      <c r="E28" s="963"/>
      <c r="F28" s="966" t="s">
        <v>75</v>
      </c>
      <c r="G28" s="967"/>
      <c r="H28" s="970" t="s">
        <v>76</v>
      </c>
      <c r="I28" s="971"/>
      <c r="J28" s="972" t="s">
        <v>1735</v>
      </c>
      <c r="K28" s="973"/>
      <c r="L28" s="970" t="s">
        <v>1736</v>
      </c>
      <c r="M28" s="971"/>
      <c r="N28" s="336"/>
      <c r="O28" s="498"/>
      <c r="P28" s="498"/>
      <c r="Q28" s="498"/>
      <c r="R28" s="498"/>
      <c r="S28" s="498"/>
      <c r="T28" s="498"/>
      <c r="U28" s="299"/>
      <c r="V28" s="498"/>
      <c r="W28" s="498"/>
      <c r="X28" s="498"/>
      <c r="Y28" s="498"/>
      <c r="Z28" s="498"/>
      <c r="AA28" s="498"/>
    </row>
    <row r="29" spans="1:27" ht="15" customHeight="1" collapsed="1" thickTop="1" thickBot="1" x14ac:dyDescent="0.25">
      <c r="A29" s="286"/>
      <c r="B29" s="976"/>
      <c r="C29" s="977"/>
      <c r="D29" s="964"/>
      <c r="E29" s="965"/>
      <c r="F29" s="968"/>
      <c r="G29" s="969"/>
      <c r="H29" s="343" t="s">
        <v>1732</v>
      </c>
      <c r="I29" s="260" t="s">
        <v>142</v>
      </c>
      <c r="J29" s="345" t="s">
        <v>1733</v>
      </c>
      <c r="K29" s="577">
        <f>IF(E30=0,0,VLOOKUP(E30,RBRATES,2,0))</f>
        <v>0.05</v>
      </c>
      <c r="L29" s="343" t="s">
        <v>80</v>
      </c>
      <c r="M29" s="510">
        <f>$Z$18</f>
        <v>0</v>
      </c>
      <c r="N29" s="336"/>
      <c r="O29" s="498"/>
      <c r="P29" s="498"/>
      <c r="Q29" s="498"/>
      <c r="R29" s="498"/>
      <c r="S29" s="498"/>
      <c r="T29" s="498"/>
      <c r="U29" s="299"/>
      <c r="V29" s="498"/>
      <c r="W29" s="498"/>
      <c r="X29" s="498"/>
      <c r="Y29" s="498"/>
      <c r="Z29" s="498"/>
      <c r="AA29" s="498"/>
    </row>
    <row r="30" spans="1:27" ht="15" customHeight="1" thickTop="1" thickBot="1" x14ac:dyDescent="0.25">
      <c r="A30" s="286"/>
      <c r="B30" s="978"/>
      <c r="C30" s="979"/>
      <c r="D30" s="565" t="s">
        <v>1850</v>
      </c>
      <c r="E30" s="562" t="str">
        <f>INTAKE!C19</f>
        <v>HMO</v>
      </c>
      <c r="F30" s="342" t="s">
        <v>78</v>
      </c>
      <c r="G30" s="564">
        <f>IF(E30="HMO",$F$5,IF(E30="PPO",$H$5,IF(E30="CDHP",$J$5)))</f>
        <v>0.18</v>
      </c>
      <c r="H30" s="344" t="s">
        <v>82</v>
      </c>
      <c r="I30" s="716" t="s">
        <v>1941</v>
      </c>
      <c r="J30" s="947"/>
      <c r="K30" s="948"/>
      <c r="L30" s="949"/>
      <c r="M30" s="950"/>
      <c r="N30" s="336"/>
      <c r="O30" s="702" t="s">
        <v>1942</v>
      </c>
      <c r="P30" s="702"/>
      <c r="Q30" s="702"/>
      <c r="R30" s="706"/>
      <c r="S30" s="498"/>
      <c r="T30" s="498"/>
      <c r="U30" s="299"/>
      <c r="V30" s="498"/>
      <c r="W30" s="498"/>
      <c r="X30" s="498"/>
      <c r="Y30" s="498"/>
      <c r="Z30" s="498"/>
      <c r="AA30" s="498"/>
    </row>
    <row r="31" spans="1:27" ht="15" customHeight="1" thickTop="1" x14ac:dyDescent="0.2">
      <c r="A31" s="286"/>
      <c r="B31" s="951" t="s">
        <v>32</v>
      </c>
      <c r="C31" s="952"/>
      <c r="D31" s="953" t="str">
        <f>INTAKE!D$19</f>
        <v>LOW HMO (avn - VALUE)</v>
      </c>
      <c r="E31" s="954"/>
      <c r="F31" s="955"/>
      <c r="G31" s="956"/>
      <c r="H31" s="1034" t="str">
        <f>VLOOKUP(I29,[3]PLANS!$A$1:$H$107,2,FALSE)</f>
        <v>Classic HMO 20/40/250 admit/125 OP</v>
      </c>
      <c r="I31" s="1035"/>
      <c r="J31" s="919" t="str">
        <f t="shared" ref="J31:J37" si="6">H31</f>
        <v>Classic HMO 20/40/250 admit/125 OP</v>
      </c>
      <c r="K31" s="920"/>
      <c r="L31" s="921" t="str">
        <f t="shared" ref="L31:L37" si="7">H31</f>
        <v>Classic HMO 20/40/250 admit/125 OP</v>
      </c>
      <c r="M31" s="918"/>
      <c r="N31" s="336"/>
      <c r="O31" s="498"/>
      <c r="P31" s="498"/>
      <c r="Q31" s="498"/>
      <c r="R31" s="498"/>
      <c r="S31" s="498"/>
      <c r="T31" s="498"/>
      <c r="U31" s="299"/>
      <c r="V31" s="498"/>
      <c r="W31" s="498"/>
      <c r="X31" s="498"/>
      <c r="Y31" s="498"/>
      <c r="Z31" s="498"/>
      <c r="AA31" s="498"/>
    </row>
    <row r="32" spans="1:27" ht="15" customHeight="1" x14ac:dyDescent="0.2">
      <c r="A32" s="286"/>
      <c r="B32" s="938" t="s">
        <v>36</v>
      </c>
      <c r="C32" s="939"/>
      <c r="D32" s="936" t="str">
        <f>INTAKE!N$19</f>
        <v>0</v>
      </c>
      <c r="E32" s="937"/>
      <c r="F32" s="955"/>
      <c r="G32" s="957"/>
      <c r="H32" s="917">
        <f>VLOOKUP(I29,[3]PLANS!$A$1:$H$107,3,FALSE)</f>
        <v>0</v>
      </c>
      <c r="I32" s="918"/>
      <c r="J32" s="919">
        <f t="shared" si="6"/>
        <v>0</v>
      </c>
      <c r="K32" s="920"/>
      <c r="L32" s="921">
        <f t="shared" si="7"/>
        <v>0</v>
      </c>
      <c r="M32" s="918"/>
      <c r="N32" s="336"/>
      <c r="O32" s="498"/>
      <c r="P32" s="498"/>
      <c r="Q32" s="498"/>
      <c r="R32" s="498"/>
      <c r="S32" s="498"/>
      <c r="T32" s="498"/>
      <c r="U32" s="299"/>
      <c r="V32" s="498"/>
      <c r="W32" s="498"/>
      <c r="X32" s="498"/>
      <c r="Y32" s="498"/>
      <c r="Z32" s="498"/>
      <c r="AA32" s="498"/>
    </row>
    <row r="33" spans="1:27" ht="15" customHeight="1" x14ac:dyDescent="0.2">
      <c r="A33" s="286"/>
      <c r="B33" s="945" t="s">
        <v>37</v>
      </c>
      <c r="C33" s="946"/>
      <c r="D33" s="936" t="str">
        <f>INTAKE!O$19</f>
        <v>2X2</v>
      </c>
      <c r="E33" s="937"/>
      <c r="F33" s="955"/>
      <c r="G33" s="957"/>
      <c r="H33" s="917" t="str">
        <f>VLOOKUP(I29,[3]PLANS!$A$1:$H$107,4,FALSE)</f>
        <v>$2000/$4000</v>
      </c>
      <c r="I33" s="918"/>
      <c r="J33" s="919" t="str">
        <f t="shared" si="6"/>
        <v>$2000/$4000</v>
      </c>
      <c r="K33" s="920"/>
      <c r="L33" s="921" t="str">
        <f t="shared" si="7"/>
        <v>$2000/$4000</v>
      </c>
      <c r="M33" s="918"/>
      <c r="N33" s="336"/>
      <c r="O33" s="498"/>
      <c r="P33" s="498"/>
      <c r="Q33" s="498"/>
      <c r="R33" s="498"/>
      <c r="S33" s="498"/>
      <c r="T33" s="498"/>
      <c r="U33" s="299"/>
      <c r="V33" s="498"/>
      <c r="W33" s="498"/>
      <c r="X33" s="498"/>
      <c r="Y33" s="498"/>
      <c r="Z33" s="498"/>
      <c r="AA33" s="498"/>
    </row>
    <row r="34" spans="1:27" ht="15" customHeight="1" x14ac:dyDescent="0.2">
      <c r="A34" s="286"/>
      <c r="B34" s="934" t="s">
        <v>38</v>
      </c>
      <c r="C34" s="935"/>
      <c r="D34" s="915" t="str">
        <f>INTAKE!P$19</f>
        <v>$20/40</v>
      </c>
      <c r="E34" s="916"/>
      <c r="F34" s="955"/>
      <c r="G34" s="957"/>
      <c r="H34" s="917" t="str">
        <f>VLOOKUP(I29,[3]PLANS!$A$1:$H$107,5,FALSE)</f>
        <v>$20/$40</v>
      </c>
      <c r="I34" s="918"/>
      <c r="J34" s="919" t="str">
        <f t="shared" si="6"/>
        <v>$20/$40</v>
      </c>
      <c r="K34" s="920"/>
      <c r="L34" s="921" t="str">
        <f t="shared" si="7"/>
        <v>$20/$40</v>
      </c>
      <c r="M34" s="918"/>
      <c r="N34" s="336"/>
      <c r="O34" s="498"/>
      <c r="P34" s="498"/>
      <c r="Q34" s="498"/>
      <c r="R34" s="498"/>
      <c r="S34" s="498"/>
      <c r="T34" s="498"/>
      <c r="U34" s="299"/>
      <c r="V34" s="498"/>
      <c r="W34" s="498"/>
      <c r="X34" s="498"/>
      <c r="Y34" s="498"/>
      <c r="Z34" s="498"/>
      <c r="AA34" s="498"/>
    </row>
    <row r="35" spans="1:27" ht="15" customHeight="1" x14ac:dyDescent="0.2">
      <c r="A35" s="286"/>
      <c r="B35" s="934" t="s">
        <v>39</v>
      </c>
      <c r="C35" s="935"/>
      <c r="D35" s="915" t="str">
        <f>INTAKE!Q$19</f>
        <v>$500</v>
      </c>
      <c r="E35" s="916"/>
      <c r="F35" s="955"/>
      <c r="G35" s="957"/>
      <c r="H35" s="917" t="str">
        <f>VLOOKUP(I29,[3]PLANS!$A$1:$H$107,6,FALSE)</f>
        <v>$250 per Admit</v>
      </c>
      <c r="I35" s="918"/>
      <c r="J35" s="919" t="str">
        <f t="shared" si="6"/>
        <v>$250 per Admit</v>
      </c>
      <c r="K35" s="920"/>
      <c r="L35" s="921" t="str">
        <f t="shared" si="7"/>
        <v>$250 per Admit</v>
      </c>
      <c r="M35" s="918"/>
      <c r="N35" s="336"/>
      <c r="O35" s="498"/>
      <c r="P35" s="498"/>
      <c r="Q35" s="498"/>
      <c r="R35" s="498"/>
      <c r="S35" s="498"/>
      <c r="T35" s="498"/>
      <c r="U35" s="299"/>
      <c r="V35" s="498"/>
      <c r="W35" s="498"/>
      <c r="X35" s="498"/>
      <c r="Y35" s="498"/>
      <c r="Z35" s="498"/>
      <c r="AA35" s="498"/>
    </row>
    <row r="36" spans="1:27" ht="15" customHeight="1" x14ac:dyDescent="0.2">
      <c r="A36" s="286"/>
      <c r="B36" s="934" t="s">
        <v>90</v>
      </c>
      <c r="C36" s="935"/>
      <c r="D36" s="936" t="str">
        <f>INTAKE!R$19</f>
        <v>$250</v>
      </c>
      <c r="E36" s="937"/>
      <c r="F36" s="955"/>
      <c r="G36" s="957"/>
      <c r="H36" s="917" t="str">
        <f>VLOOKUP(I29,[3]PLANS!$A$1:$H$107,7,FALSE)</f>
        <v>$125 per Admit</v>
      </c>
      <c r="I36" s="918"/>
      <c r="J36" s="919" t="str">
        <f t="shared" si="6"/>
        <v>$125 per Admit</v>
      </c>
      <c r="K36" s="920"/>
      <c r="L36" s="921" t="str">
        <f t="shared" si="7"/>
        <v>$125 per Admit</v>
      </c>
      <c r="M36" s="918"/>
      <c r="N36" s="336"/>
      <c r="O36" s="498"/>
      <c r="P36" s="498"/>
      <c r="Q36" s="498"/>
      <c r="R36" s="498"/>
      <c r="S36" s="498"/>
      <c r="T36" s="498"/>
      <c r="U36" s="299"/>
      <c r="V36" s="498"/>
      <c r="W36" s="498"/>
      <c r="X36" s="498"/>
      <c r="Y36" s="498"/>
      <c r="Z36" s="498"/>
      <c r="AA36" s="498"/>
    </row>
    <row r="37" spans="1:27" ht="15" customHeight="1" x14ac:dyDescent="0.2">
      <c r="A37" s="286"/>
      <c r="B37" s="938" t="s">
        <v>92</v>
      </c>
      <c r="C37" s="939"/>
      <c r="D37" s="936" t="str">
        <f>INTAKE!S$19</f>
        <v>$10/20/35</v>
      </c>
      <c r="E37" s="937"/>
      <c r="F37" s="955"/>
      <c r="G37" s="957"/>
      <c r="H37" s="940" t="str">
        <f>VLOOKUP(I29,[3]PLANS!$A$1:$H$107,8,FALSE)</f>
        <v xml:space="preserve">$5/$15/$30/$50/30% Essential </v>
      </c>
      <c r="I37" s="941"/>
      <c r="J37" s="942" t="str">
        <f t="shared" si="6"/>
        <v xml:space="preserve">$5/$15/$30/$50/30% Essential </v>
      </c>
      <c r="K37" s="943"/>
      <c r="L37" s="944" t="str">
        <f t="shared" si="7"/>
        <v xml:space="preserve">$5/$15/$30/$50/30% Essential </v>
      </c>
      <c r="M37" s="941"/>
      <c r="N37" s="336"/>
      <c r="O37" s="498"/>
      <c r="P37" s="498"/>
      <c r="Q37" s="498"/>
      <c r="R37" s="498"/>
      <c r="S37" s="498"/>
      <c r="T37" s="498"/>
      <c r="U37" s="299"/>
      <c r="V37" s="498"/>
      <c r="W37" s="498"/>
      <c r="X37" s="498"/>
      <c r="Y37" s="498"/>
      <c r="Z37" s="498"/>
      <c r="AA37" s="498"/>
    </row>
    <row r="38" spans="1:27" ht="15" customHeight="1" thickBot="1" x14ac:dyDescent="0.25">
      <c r="A38" s="286"/>
      <c r="B38" s="922" t="s">
        <v>93</v>
      </c>
      <c r="C38" s="923"/>
      <c r="D38" s="245" t="s">
        <v>29</v>
      </c>
      <c r="E38" s="246" t="s">
        <v>94</v>
      </c>
      <c r="F38" s="247" t="s">
        <v>29</v>
      </c>
      <c r="G38" s="248" t="s">
        <v>94</v>
      </c>
      <c r="H38" s="366" t="s">
        <v>29</v>
      </c>
      <c r="I38" s="249" t="s">
        <v>94</v>
      </c>
      <c r="J38" s="250" t="s">
        <v>29</v>
      </c>
      <c r="K38" s="251" t="s">
        <v>94</v>
      </c>
      <c r="L38" s="252" t="s">
        <v>29</v>
      </c>
      <c r="M38" s="249" t="s">
        <v>94</v>
      </c>
      <c r="N38" s="336"/>
      <c r="O38" s="498"/>
      <c r="P38" s="498"/>
      <c r="Q38" s="498"/>
      <c r="R38" s="498"/>
      <c r="S38" s="498"/>
      <c r="T38" s="498"/>
      <c r="U38" s="299"/>
      <c r="V38" s="498"/>
      <c r="W38" s="498"/>
      <c r="X38" s="498"/>
      <c r="Y38" s="498"/>
      <c r="Z38" s="498"/>
      <c r="AA38" s="498"/>
    </row>
    <row r="39" spans="1:27" ht="15" customHeight="1" thickBot="1" x14ac:dyDescent="0.25">
      <c r="A39" s="286"/>
      <c r="B39" s="240" t="s">
        <v>95</v>
      </c>
      <c r="C39" s="237">
        <f>INTAKE!I$20</f>
        <v>61</v>
      </c>
      <c r="D39" s="236">
        <f>INTAKE!I19</f>
        <v>506.73</v>
      </c>
      <c r="E39" s="234">
        <f>C39*D39</f>
        <v>30910.530000000002</v>
      </c>
      <c r="F39" s="233">
        <f>SUM(1+G30/1)*D39</f>
        <v>597.94140000000004</v>
      </c>
      <c r="G39" s="364">
        <f>C39*F39</f>
        <v>36474.4254</v>
      </c>
      <c r="H39" s="717">
        <v>591.05999999999995</v>
      </c>
      <c r="I39" s="365">
        <f>C39*H39</f>
        <v>36054.659999999996</v>
      </c>
      <c r="J39" s="230">
        <f>IF($U$20&lt;0%,0,SUM(H39)*(1-K29)*1)</f>
        <v>561.50699999999995</v>
      </c>
      <c r="K39" s="231">
        <f>IF(J39=0,0,C39*J39)</f>
        <v>34251.926999999996</v>
      </c>
      <c r="L39" s="244">
        <f>IF($Z$17=0,0,SUM(J39)*(1-M29)*1)</f>
        <v>0</v>
      </c>
      <c r="M39" s="242">
        <f>C39*L39</f>
        <v>0</v>
      </c>
      <c r="N39" s="336"/>
      <c r="O39" s="498"/>
      <c r="P39" s="498"/>
      <c r="Q39" s="498"/>
      <c r="R39" s="498"/>
      <c r="S39" s="498"/>
      <c r="T39" s="498"/>
      <c r="U39" s="299"/>
      <c r="V39" s="498"/>
      <c r="W39" s="498"/>
      <c r="X39" s="498"/>
      <c r="Y39" s="498"/>
      <c r="Z39" s="498"/>
      <c r="AA39" s="498"/>
    </row>
    <row r="40" spans="1:27" ht="15" customHeight="1" x14ac:dyDescent="0.2">
      <c r="A40" s="286"/>
      <c r="B40" s="240" t="s">
        <v>96</v>
      </c>
      <c r="C40" s="237">
        <f>INTAKE!J$20</f>
        <v>24</v>
      </c>
      <c r="D40" s="236">
        <f>INTAKE!J19</f>
        <v>1140.1300000000001</v>
      </c>
      <c r="E40" s="234">
        <f t="shared" ref="E40:E42" si="8">C40*D40</f>
        <v>27363.120000000003</v>
      </c>
      <c r="F40" s="233">
        <f>SUM(1+G30/1)*D40</f>
        <v>1345.3534</v>
      </c>
      <c r="G40" s="232">
        <f t="shared" ref="G40:G42" si="9">C40*F40</f>
        <v>32288.481599999999</v>
      </c>
      <c r="H40" s="718">
        <f>2.2*H39</f>
        <v>1300.3319999999999</v>
      </c>
      <c r="I40" s="242">
        <f>C40*H40</f>
        <v>31207.967999999997</v>
      </c>
      <c r="J40" s="230">
        <f>IF($U$20&lt;0%,0,SUM(H40)*(1-K29)*1)</f>
        <v>1235.3153999999997</v>
      </c>
      <c r="K40" s="231">
        <f t="shared" ref="K40:K42" si="10">IF(J40=0,0,C40*J40)</f>
        <v>29647.569599999995</v>
      </c>
      <c r="L40" s="244">
        <f>IF($Z$17=0,0,SUM(J40)*(1-M29)*1)</f>
        <v>0</v>
      </c>
      <c r="M40" s="242">
        <f>C40*L40</f>
        <v>0</v>
      </c>
      <c r="N40" s="336"/>
      <c r="O40" s="498"/>
      <c r="P40" s="498"/>
      <c r="Q40" s="498"/>
      <c r="R40" s="498"/>
      <c r="S40" s="498"/>
      <c r="T40" s="498"/>
      <c r="U40" s="299"/>
      <c r="V40" s="498"/>
      <c r="W40" s="498"/>
      <c r="X40" s="498"/>
      <c r="Y40" s="498"/>
      <c r="Z40" s="498"/>
      <c r="AA40" s="498"/>
    </row>
    <row r="41" spans="1:27" ht="15" customHeight="1" x14ac:dyDescent="0.2">
      <c r="A41" s="286"/>
      <c r="B41" s="240" t="s">
        <v>98</v>
      </c>
      <c r="C41" s="237">
        <f>INTAKE!K$20</f>
        <v>12</v>
      </c>
      <c r="D41" s="236">
        <f>INTAKE!K19</f>
        <v>913.28</v>
      </c>
      <c r="E41" s="234">
        <f t="shared" si="8"/>
        <v>10959.36</v>
      </c>
      <c r="F41" s="233">
        <f>SUM(1+G30/1)*D41</f>
        <v>1077.6704</v>
      </c>
      <c r="G41" s="232">
        <f t="shared" si="9"/>
        <v>12932.0448</v>
      </c>
      <c r="H41" s="719">
        <f>1.8*H39</f>
        <v>1063.9079999999999</v>
      </c>
      <c r="I41" s="242">
        <f>C41*H41</f>
        <v>12766.895999999999</v>
      </c>
      <c r="J41" s="230">
        <f>IF($U$20&lt;0%,0,SUM(H41)*(1-K29)*1)</f>
        <v>1010.7125999999998</v>
      </c>
      <c r="K41" s="231">
        <f t="shared" si="10"/>
        <v>12128.551199999998</v>
      </c>
      <c r="L41" s="244">
        <f>IF($Z$17=0,0,SUM(J41)*(1-M29)*1)</f>
        <v>0</v>
      </c>
      <c r="M41" s="242">
        <f>C41*L41</f>
        <v>0</v>
      </c>
      <c r="N41" s="336"/>
      <c r="O41" s="498"/>
      <c r="P41" s="498"/>
      <c r="Q41" s="498"/>
      <c r="R41" s="498"/>
      <c r="S41" s="498"/>
      <c r="T41" s="498"/>
      <c r="U41" s="299"/>
      <c r="V41" s="498"/>
      <c r="W41" s="498"/>
      <c r="X41" s="498"/>
      <c r="Y41" s="498"/>
      <c r="Z41" s="498"/>
      <c r="AA41" s="498"/>
    </row>
    <row r="42" spans="1:27" ht="15" customHeight="1" x14ac:dyDescent="0.2">
      <c r="A42" s="286"/>
      <c r="B42" s="240" t="s">
        <v>100</v>
      </c>
      <c r="C42" s="237">
        <f>INTAKE!L$20</f>
        <v>40</v>
      </c>
      <c r="D42" s="236">
        <f>INTAKE!L19</f>
        <v>1580.96</v>
      </c>
      <c r="E42" s="234">
        <f t="shared" si="8"/>
        <v>63238.400000000001</v>
      </c>
      <c r="F42" s="361">
        <f>SUM(1+G30/1)*D42</f>
        <v>1865.5328</v>
      </c>
      <c r="G42" s="232">
        <f t="shared" si="9"/>
        <v>74621.312000000005</v>
      </c>
      <c r="H42" s="719">
        <f>3.1*H39</f>
        <v>1832.2859999999998</v>
      </c>
      <c r="I42" s="242">
        <f>C42*H42</f>
        <v>73291.439999999988</v>
      </c>
      <c r="J42" s="230">
        <f>IF($U$20&lt;0%,0,SUM(H42)*(1-K29)*1)</f>
        <v>1740.6716999999996</v>
      </c>
      <c r="K42" s="231">
        <f t="shared" si="10"/>
        <v>69626.867999999988</v>
      </c>
      <c r="L42" s="244">
        <f>IF($Z$17=0,0,SUM(J42)*(1-M29)*1)</f>
        <v>0</v>
      </c>
      <c r="M42" s="242">
        <f>C42*L42</f>
        <v>0</v>
      </c>
      <c r="N42" s="336"/>
      <c r="O42" s="498"/>
      <c r="P42" s="499"/>
      <c r="Q42" s="499"/>
      <c r="R42" s="499"/>
      <c r="S42" s="499"/>
      <c r="T42" s="499"/>
      <c r="U42" s="299"/>
      <c r="V42" s="498"/>
      <c r="W42" s="498"/>
      <c r="X42" s="498"/>
      <c r="Y42" s="498"/>
      <c r="Z42" s="498"/>
      <c r="AA42" s="498"/>
    </row>
    <row r="43" spans="1:27" ht="15" customHeight="1" x14ac:dyDescent="0.2">
      <c r="A43" s="286"/>
      <c r="B43" s="924"/>
      <c r="C43" s="925"/>
      <c r="D43" s="358" t="s">
        <v>1734</v>
      </c>
      <c r="E43" s="356">
        <f>SUM(E39:E42)</f>
        <v>132471.41</v>
      </c>
      <c r="F43" s="362" t="s">
        <v>1734</v>
      </c>
      <c r="G43" s="360">
        <f>SUM(G39:G42)</f>
        <v>156316.26380000002</v>
      </c>
      <c r="H43" s="346" t="s">
        <v>1734</v>
      </c>
      <c r="I43" s="347">
        <f>SUM(I39:I42)</f>
        <v>153320.96399999998</v>
      </c>
      <c r="J43" s="350" t="s">
        <v>1734</v>
      </c>
      <c r="K43" s="351">
        <f>IF($M$6&lt;0%=0,0,SUM(K39:K42))</f>
        <v>145654.91579999996</v>
      </c>
      <c r="L43" s="352" t="s">
        <v>1734</v>
      </c>
      <c r="M43" s="347">
        <f>SUM(M39:M42)</f>
        <v>0</v>
      </c>
      <c r="N43" s="336"/>
      <c r="O43" s="299"/>
      <c r="P43" s="299"/>
      <c r="Q43" s="299"/>
      <c r="R43" s="299"/>
      <c r="S43" s="299"/>
      <c r="T43" s="299"/>
      <c r="U43" s="299"/>
      <c r="V43" s="498"/>
      <c r="W43" s="498"/>
      <c r="X43" s="498"/>
      <c r="Y43" s="498"/>
      <c r="Z43" s="498"/>
      <c r="AA43" s="498"/>
    </row>
    <row r="44" spans="1:27" ht="15" customHeight="1" collapsed="1" x14ac:dyDescent="0.2">
      <c r="A44" s="286"/>
      <c r="B44" s="926"/>
      <c r="C44" s="927"/>
      <c r="D44" s="358" t="s">
        <v>1767</v>
      </c>
      <c r="E44" s="359">
        <f>E43*12</f>
        <v>1589656.92</v>
      </c>
      <c r="F44" s="362" t="s">
        <v>1767</v>
      </c>
      <c r="G44" s="363">
        <f>G43*12</f>
        <v>1875795.1656000002</v>
      </c>
      <c r="H44" s="348" t="s">
        <v>1767</v>
      </c>
      <c r="I44" s="349">
        <f>I43*12</f>
        <v>1839851.5679999997</v>
      </c>
      <c r="J44" s="353" t="s">
        <v>1767</v>
      </c>
      <c r="K44" s="354">
        <f>K43*12</f>
        <v>1747858.9895999995</v>
      </c>
      <c r="L44" s="355" t="s">
        <v>1767</v>
      </c>
      <c r="M44" s="349">
        <f>M43*12</f>
        <v>0</v>
      </c>
      <c r="N44" s="336"/>
      <c r="O44" s="299"/>
      <c r="P44" s="299"/>
      <c r="Q44" s="299"/>
      <c r="R44" s="299"/>
      <c r="S44" s="299"/>
      <c r="T44" s="299"/>
      <c r="U44" s="299"/>
      <c r="V44" s="498"/>
      <c r="W44" s="498"/>
      <c r="X44" s="498"/>
      <c r="Y44" s="498"/>
      <c r="Z44" s="498"/>
      <c r="AA44" s="498"/>
    </row>
    <row r="45" spans="1:27" ht="15" customHeight="1" thickBot="1" x14ac:dyDescent="0.25">
      <c r="A45" s="286"/>
      <c r="B45" s="928"/>
      <c r="C45" s="929"/>
      <c r="D45" s="930"/>
      <c r="E45" s="931"/>
      <c r="F45" s="932"/>
      <c r="G45" s="933"/>
      <c r="H45" s="255" t="s">
        <v>1731</v>
      </c>
      <c r="I45" s="256">
        <f>IF(I43&lt;1,"",(E44-I44)/E44*-1)</f>
        <v>0.15738908493538331</v>
      </c>
      <c r="J45" s="257" t="s">
        <v>1731</v>
      </c>
      <c r="K45" s="258">
        <f>IF(K44=0,0,(E44-K44)/E44*-1)</f>
        <v>9.9519630688613983E-2</v>
      </c>
      <c r="L45" s="259" t="s">
        <v>1731</v>
      </c>
      <c r="M45" s="256">
        <f>IF(I43=0,0,(E44-M44)/E44*-1)</f>
        <v>-1</v>
      </c>
      <c r="N45" s="336"/>
      <c r="O45" s="299"/>
      <c r="P45" s="299"/>
      <c r="Q45" s="299"/>
      <c r="R45" s="299"/>
      <c r="S45" s="299"/>
      <c r="T45" s="299"/>
      <c r="U45" s="299"/>
      <c r="V45" s="498"/>
      <c r="W45" s="498"/>
      <c r="X45" s="498"/>
      <c r="Y45" s="498"/>
      <c r="Z45" s="498"/>
      <c r="AA45" s="498"/>
    </row>
    <row r="46" spans="1:27" ht="15" customHeight="1" thickTop="1" thickBot="1" x14ac:dyDescent="0.25">
      <c r="A46" s="286"/>
      <c r="B46" s="974" t="s">
        <v>114</v>
      </c>
      <c r="C46" s="975"/>
      <c r="D46" s="980" t="s">
        <v>68</v>
      </c>
      <c r="E46" s="981"/>
      <c r="F46" s="981"/>
      <c r="G46" s="982"/>
      <c r="H46" s="959" t="s">
        <v>69</v>
      </c>
      <c r="I46" s="960"/>
      <c r="J46" s="960"/>
      <c r="K46" s="960"/>
      <c r="L46" s="960"/>
      <c r="M46" s="961"/>
      <c r="N46" s="336"/>
      <c r="O46" s="299"/>
      <c r="P46" s="299"/>
      <c r="Q46" s="299"/>
      <c r="R46" s="299"/>
      <c r="S46" s="299"/>
      <c r="T46" s="299"/>
      <c r="U46" s="299"/>
      <c r="V46" s="498"/>
      <c r="W46" s="498"/>
      <c r="X46" s="498"/>
      <c r="Y46" s="498"/>
      <c r="Z46" s="498"/>
      <c r="AA46" s="498"/>
    </row>
    <row r="47" spans="1:27" ht="15" customHeight="1" thickTop="1" thickBot="1" x14ac:dyDescent="0.25">
      <c r="A47" s="286"/>
      <c r="B47" s="976"/>
      <c r="C47" s="977"/>
      <c r="D47" s="962" t="s">
        <v>74</v>
      </c>
      <c r="E47" s="963"/>
      <c r="F47" s="966" t="s">
        <v>75</v>
      </c>
      <c r="G47" s="967"/>
      <c r="H47" s="970" t="s">
        <v>76</v>
      </c>
      <c r="I47" s="971"/>
      <c r="J47" s="972" t="s">
        <v>1735</v>
      </c>
      <c r="K47" s="973"/>
      <c r="L47" s="970" t="s">
        <v>1736</v>
      </c>
      <c r="M47" s="971"/>
      <c r="N47" s="336"/>
      <c r="O47" s="299"/>
      <c r="P47" s="299"/>
      <c r="Q47" s="299"/>
      <c r="R47" s="299"/>
      <c r="S47" s="299"/>
      <c r="T47" s="299"/>
      <c r="U47" s="299"/>
      <c r="V47" s="498"/>
      <c r="W47" s="498"/>
      <c r="X47" s="498"/>
      <c r="Y47" s="498"/>
      <c r="Z47" s="498"/>
      <c r="AA47" s="498"/>
    </row>
    <row r="48" spans="1:27" ht="15" customHeight="1" thickTop="1" thickBot="1" x14ac:dyDescent="0.25">
      <c r="A48" s="286"/>
      <c r="B48" s="976"/>
      <c r="C48" s="977"/>
      <c r="D48" s="964"/>
      <c r="E48" s="965"/>
      <c r="F48" s="968"/>
      <c r="G48" s="969"/>
      <c r="H48" s="343" t="s">
        <v>1732</v>
      </c>
      <c r="I48" s="261" t="s">
        <v>243</v>
      </c>
      <c r="J48" s="345" t="s">
        <v>1733</v>
      </c>
      <c r="K48" s="577">
        <f>IF(E49=0,0,VLOOKUP(E49,RBRATES,2,0))</f>
        <v>0.25</v>
      </c>
      <c r="L48" s="343" t="s">
        <v>80</v>
      </c>
      <c r="M48" s="510">
        <f>$Z$18</f>
        <v>0</v>
      </c>
      <c r="N48" s="336"/>
      <c r="O48" s="299"/>
      <c r="P48" s="299"/>
      <c r="Q48" s="299"/>
      <c r="R48" s="299"/>
      <c r="S48" s="299"/>
      <c r="T48" s="299"/>
      <c r="U48" s="299"/>
      <c r="V48" s="498"/>
      <c r="W48" s="498"/>
      <c r="X48" s="498"/>
      <c r="Y48" s="498"/>
      <c r="Z48" s="498"/>
      <c r="AA48" s="498"/>
    </row>
    <row r="49" spans="1:27" ht="15" customHeight="1" thickTop="1" thickBot="1" x14ac:dyDescent="0.25">
      <c r="A49" s="286"/>
      <c r="B49" s="978"/>
      <c r="C49" s="979"/>
      <c r="D49" s="565" t="s">
        <v>1850</v>
      </c>
      <c r="E49" s="562" t="str">
        <f>INTAKE!C21</f>
        <v>PPO</v>
      </c>
      <c r="F49" s="342" t="s">
        <v>78</v>
      </c>
      <c r="G49" s="564">
        <f>IF(E49="HMO",$F$5,IF(E49="PPO",$H$5,IF(E49="CDHP",$J$5)))</f>
        <v>0.18</v>
      </c>
      <c r="H49" s="344" t="s">
        <v>82</v>
      </c>
      <c r="I49" s="716" t="s">
        <v>1940</v>
      </c>
      <c r="J49" s="947"/>
      <c r="K49" s="948"/>
      <c r="L49" s="949"/>
      <c r="M49" s="950"/>
      <c r="N49" s="336"/>
      <c r="O49" s="299"/>
      <c r="P49" s="299"/>
      <c r="Q49" s="299"/>
      <c r="R49" s="299"/>
      <c r="S49" s="299"/>
      <c r="T49" s="299"/>
      <c r="U49" s="299"/>
      <c r="V49" s="498"/>
      <c r="W49" s="498"/>
      <c r="X49" s="498"/>
      <c r="Y49" s="498"/>
      <c r="Z49" s="498"/>
      <c r="AA49" s="498"/>
    </row>
    <row r="50" spans="1:27" ht="15" customHeight="1" thickTop="1" x14ac:dyDescent="0.2">
      <c r="A50" s="286"/>
      <c r="B50" s="951" t="s">
        <v>32</v>
      </c>
      <c r="C50" s="952"/>
      <c r="D50" s="953" t="str">
        <f>INTAKE!D21</f>
        <v>PPO</v>
      </c>
      <c r="E50" s="954"/>
      <c r="F50" s="955"/>
      <c r="G50" s="956"/>
      <c r="H50" s="1034" t="str">
        <f>VLOOKUP(I48,[3]PLANS!$A$1:$H$107,2,FALSE)</f>
        <v>Classic PPO 250/20/20</v>
      </c>
      <c r="I50" s="1035"/>
      <c r="J50" s="919" t="str">
        <f t="shared" ref="J50:J56" si="11">H50</f>
        <v>Classic PPO 250/20/20</v>
      </c>
      <c r="K50" s="920"/>
      <c r="L50" s="921" t="str">
        <f t="shared" ref="L50:L56" si="12">H50</f>
        <v>Classic PPO 250/20/20</v>
      </c>
      <c r="M50" s="918"/>
      <c r="N50" s="336"/>
      <c r="O50" s="299"/>
      <c r="P50" s="299"/>
      <c r="Q50" s="299"/>
      <c r="R50" s="299"/>
      <c r="S50" s="299"/>
      <c r="T50" s="299"/>
      <c r="U50" s="299"/>
      <c r="V50" s="498"/>
      <c r="W50" s="498"/>
      <c r="X50" s="498"/>
      <c r="Y50" s="498"/>
      <c r="Z50" s="498"/>
      <c r="AA50" s="498"/>
    </row>
    <row r="51" spans="1:27" ht="15" customHeight="1" x14ac:dyDescent="0.2">
      <c r="A51" s="286"/>
      <c r="B51" s="938" t="s">
        <v>36</v>
      </c>
      <c r="C51" s="939"/>
      <c r="D51" s="936" t="str">
        <f>INTAKE!N$21</f>
        <v>250X2/500X2</v>
      </c>
      <c r="E51" s="937"/>
      <c r="F51" s="955"/>
      <c r="G51" s="957"/>
      <c r="H51" s="917" t="str">
        <f>VLOOKUP(I48,[3]PLANS!$A$1:$H$107,3,FALSE)</f>
        <v>$250/$750 In; $750/$2250 Out</v>
      </c>
      <c r="I51" s="918"/>
      <c r="J51" s="919" t="str">
        <f t="shared" si="11"/>
        <v>$250/$750 In; $750/$2250 Out</v>
      </c>
      <c r="K51" s="920"/>
      <c r="L51" s="921" t="str">
        <f t="shared" si="12"/>
        <v>$250/$750 In; $750/$2250 Out</v>
      </c>
      <c r="M51" s="918"/>
      <c r="N51" s="336"/>
      <c r="O51" s="299"/>
      <c r="P51" s="299"/>
      <c r="Q51" s="299"/>
      <c r="R51" s="299"/>
      <c r="S51" s="299"/>
      <c r="T51" s="299"/>
      <c r="U51" s="299"/>
      <c r="V51" s="498"/>
      <c r="W51" s="498"/>
      <c r="X51" s="498"/>
      <c r="Y51" s="498"/>
      <c r="Z51" s="498"/>
      <c r="AA51" s="498"/>
    </row>
    <row r="52" spans="1:27" ht="15" customHeight="1" x14ac:dyDescent="0.2">
      <c r="A52" s="286"/>
      <c r="B52" s="945" t="s">
        <v>37</v>
      </c>
      <c r="C52" s="946"/>
      <c r="D52" s="936" t="str">
        <f>INTAKE!O$21</f>
        <v>2250X2/4.5X2oon</v>
      </c>
      <c r="E52" s="937"/>
      <c r="F52" s="955"/>
      <c r="G52" s="957"/>
      <c r="H52" s="917" t="str">
        <f>VLOOKUP(I48,[3]PLANS!$A$1:$H$107,4,FALSE)</f>
        <v>$2500/$5000</v>
      </c>
      <c r="I52" s="918"/>
      <c r="J52" s="919" t="str">
        <f t="shared" si="11"/>
        <v>$2500/$5000</v>
      </c>
      <c r="K52" s="920"/>
      <c r="L52" s="921" t="str">
        <f t="shared" si="12"/>
        <v>$2500/$5000</v>
      </c>
      <c r="M52" s="918"/>
      <c r="N52" s="336"/>
      <c r="O52" s="299"/>
      <c r="P52" s="299"/>
      <c r="Q52" s="299"/>
      <c r="R52" s="299"/>
      <c r="S52" s="299"/>
      <c r="T52" s="299"/>
      <c r="U52" s="299"/>
      <c r="V52" s="498"/>
      <c r="W52" s="498"/>
      <c r="X52" s="498"/>
      <c r="Y52" s="498"/>
      <c r="Z52" s="498"/>
      <c r="AA52" s="498"/>
    </row>
    <row r="53" spans="1:27" ht="15" customHeight="1" x14ac:dyDescent="0.2">
      <c r="A53" s="286"/>
      <c r="B53" s="934" t="s">
        <v>38</v>
      </c>
      <c r="C53" s="935"/>
      <c r="D53" s="915" t="str">
        <f>INTAKE!P$21</f>
        <v>$20</v>
      </c>
      <c r="E53" s="916"/>
      <c r="F53" s="955"/>
      <c r="G53" s="957"/>
      <c r="H53" s="917">
        <f>VLOOKUP(I48,[3]PLANS!$A$1:$H$107,5,FALSE)</f>
        <v>20</v>
      </c>
      <c r="I53" s="918"/>
      <c r="J53" s="919">
        <f t="shared" si="11"/>
        <v>20</v>
      </c>
      <c r="K53" s="920"/>
      <c r="L53" s="921">
        <f t="shared" si="12"/>
        <v>20</v>
      </c>
      <c r="M53" s="918"/>
      <c r="N53" s="336"/>
      <c r="O53" s="299"/>
      <c r="P53" s="299"/>
      <c r="Q53" s="299"/>
      <c r="R53" s="299"/>
      <c r="S53" s="299"/>
      <c r="T53" s="299"/>
      <c r="U53" s="299"/>
      <c r="V53" s="498"/>
      <c r="W53" s="498"/>
      <c r="X53" s="498"/>
      <c r="Y53" s="498"/>
      <c r="Z53" s="498"/>
      <c r="AA53" s="498"/>
    </row>
    <row r="54" spans="1:27" ht="15" customHeight="1" x14ac:dyDescent="0.2">
      <c r="A54" s="286"/>
      <c r="B54" s="934" t="s">
        <v>39</v>
      </c>
      <c r="C54" s="935"/>
      <c r="D54" s="915" t="str">
        <f>INTAKE!Q$21</f>
        <v>20%/40%OON</v>
      </c>
      <c r="E54" s="916"/>
      <c r="F54" s="955"/>
      <c r="G54" s="957"/>
      <c r="H54" s="917">
        <f>VLOOKUP(I48,[3]PLANS!$A$1:$H$107,6,FALSE)</f>
        <v>0.2</v>
      </c>
      <c r="I54" s="918"/>
      <c r="J54" s="919">
        <f t="shared" si="11"/>
        <v>0.2</v>
      </c>
      <c r="K54" s="920"/>
      <c r="L54" s="921">
        <f t="shared" si="12"/>
        <v>0.2</v>
      </c>
      <c r="M54" s="918"/>
      <c r="N54" s="336"/>
      <c r="O54" s="299"/>
      <c r="P54" s="299"/>
      <c r="Q54" s="299"/>
      <c r="R54" s="299"/>
      <c r="S54" s="299"/>
      <c r="T54" s="299"/>
      <c r="U54" s="299"/>
      <c r="V54" s="498"/>
      <c r="W54" s="498"/>
      <c r="X54" s="498"/>
      <c r="Y54" s="498"/>
      <c r="Z54" s="498"/>
      <c r="AA54" s="498"/>
    </row>
    <row r="55" spans="1:27" ht="15" customHeight="1" x14ac:dyDescent="0.2">
      <c r="A55" s="286"/>
      <c r="B55" s="934" t="s">
        <v>90</v>
      </c>
      <c r="C55" s="935"/>
      <c r="D55" s="936" t="str">
        <f>INTAKE!R$21</f>
        <v>20%/40%OON</v>
      </c>
      <c r="E55" s="937"/>
      <c r="F55" s="955"/>
      <c r="G55" s="957"/>
      <c r="H55" s="917">
        <f>VLOOKUP(I48,[3]PLANS!$A$1:$H$107,7,FALSE)</f>
        <v>0.4</v>
      </c>
      <c r="I55" s="918"/>
      <c r="J55" s="919">
        <f t="shared" si="11"/>
        <v>0.4</v>
      </c>
      <c r="K55" s="920"/>
      <c r="L55" s="921">
        <f t="shared" si="12"/>
        <v>0.4</v>
      </c>
      <c r="M55" s="918"/>
      <c r="N55" s="336"/>
      <c r="O55" s="299"/>
      <c r="P55" s="299"/>
      <c r="Q55" s="299"/>
      <c r="R55" s="299"/>
      <c r="S55" s="299"/>
      <c r="T55" s="299"/>
      <c r="U55" s="299"/>
      <c r="V55" s="498"/>
      <c r="W55" s="498"/>
      <c r="X55" s="498"/>
      <c r="Y55" s="498"/>
      <c r="Z55" s="498"/>
      <c r="AA55" s="498"/>
    </row>
    <row r="56" spans="1:27" ht="15" customHeight="1" x14ac:dyDescent="0.2">
      <c r="A56" s="286"/>
      <c r="B56" s="938" t="s">
        <v>92</v>
      </c>
      <c r="C56" s="939"/>
      <c r="D56" s="936" t="str">
        <f>INTAKE!S$21</f>
        <v>$15/25/40</v>
      </c>
      <c r="E56" s="937"/>
      <c r="F56" s="955"/>
      <c r="G56" s="957"/>
      <c r="H56" s="940" t="str">
        <f>VLOOKUP(I48,[3]PLANS!$A$1:$H$107,8,FALSE)</f>
        <v xml:space="preserve">$5/$15/$30/$50/30% Essential </v>
      </c>
      <c r="I56" s="941"/>
      <c r="J56" s="942" t="str">
        <f t="shared" si="11"/>
        <v xml:space="preserve">$5/$15/$30/$50/30% Essential </v>
      </c>
      <c r="K56" s="943"/>
      <c r="L56" s="944" t="str">
        <f t="shared" si="12"/>
        <v xml:space="preserve">$5/$15/$30/$50/30% Essential </v>
      </c>
      <c r="M56" s="941"/>
      <c r="N56" s="336"/>
      <c r="O56" s="299"/>
      <c r="P56" s="299"/>
      <c r="Q56" s="299"/>
      <c r="R56" s="299"/>
      <c r="S56" s="299"/>
      <c r="T56" s="299"/>
      <c r="U56" s="299"/>
      <c r="V56" s="498"/>
      <c r="W56" s="498"/>
      <c r="X56" s="498"/>
      <c r="Y56" s="498"/>
      <c r="Z56" s="498"/>
      <c r="AA56" s="498"/>
    </row>
    <row r="57" spans="1:27" ht="15" customHeight="1" thickBot="1" x14ac:dyDescent="0.25">
      <c r="A57" s="286"/>
      <c r="B57" s="922" t="s">
        <v>93</v>
      </c>
      <c r="C57" s="923"/>
      <c r="D57" s="245" t="s">
        <v>29</v>
      </c>
      <c r="E57" s="246" t="s">
        <v>94</v>
      </c>
      <c r="F57" s="247" t="s">
        <v>29</v>
      </c>
      <c r="G57" s="248" t="s">
        <v>94</v>
      </c>
      <c r="H57" s="366" t="s">
        <v>29</v>
      </c>
      <c r="I57" s="249" t="s">
        <v>94</v>
      </c>
      <c r="J57" s="250" t="s">
        <v>29</v>
      </c>
      <c r="K57" s="251" t="s">
        <v>94</v>
      </c>
      <c r="L57" s="252" t="s">
        <v>29</v>
      </c>
      <c r="M57" s="249" t="s">
        <v>94</v>
      </c>
      <c r="N57" s="336"/>
      <c r="O57" s="299"/>
      <c r="P57" s="299"/>
      <c r="Q57" s="299"/>
      <c r="R57" s="299"/>
      <c r="S57" s="299"/>
      <c r="T57" s="299"/>
      <c r="U57" s="299"/>
      <c r="V57" s="498"/>
      <c r="W57" s="498"/>
      <c r="X57" s="498"/>
      <c r="Y57" s="498"/>
      <c r="Z57" s="498"/>
      <c r="AA57" s="498"/>
    </row>
    <row r="58" spans="1:27" ht="15" customHeight="1" thickBot="1" x14ac:dyDescent="0.25">
      <c r="A58" s="286"/>
      <c r="B58" s="240" t="s">
        <v>95</v>
      </c>
      <c r="C58" s="237">
        <f>INTAKE!I$22</f>
        <v>4</v>
      </c>
      <c r="D58" s="236">
        <f>INTAKE!I21</f>
        <v>826.94</v>
      </c>
      <c r="E58" s="234">
        <f>C58*D58</f>
        <v>3307.76</v>
      </c>
      <c r="F58" s="233">
        <f>SUM(1+G49/1)*D58</f>
        <v>975.78920000000005</v>
      </c>
      <c r="G58" s="364">
        <f>C58*F58</f>
        <v>3903.1568000000002</v>
      </c>
      <c r="H58" s="717">
        <v>1279.6600000000001</v>
      </c>
      <c r="I58" s="365">
        <f>C58*H58</f>
        <v>5118.6400000000003</v>
      </c>
      <c r="J58" s="230">
        <f>IF($U$20&lt;0%,0,SUM(H58)*(1-K48)*1)</f>
        <v>959.74500000000012</v>
      </c>
      <c r="K58" s="231">
        <f>IF(J58=0,0,C58*J58)</f>
        <v>3838.9800000000005</v>
      </c>
      <c r="L58" s="244">
        <f>IF($Z$17=0,0,SUM(J58)*(1-M48)*1)</f>
        <v>0</v>
      </c>
      <c r="M58" s="242">
        <f>C58*L58</f>
        <v>0</v>
      </c>
      <c r="N58" s="336"/>
      <c r="O58" s="299"/>
      <c r="P58" s="299"/>
      <c r="Q58" s="299"/>
      <c r="R58" s="299"/>
      <c r="S58" s="299"/>
      <c r="T58" s="299"/>
      <c r="U58" s="299"/>
      <c r="V58" s="498"/>
      <c r="W58" s="498"/>
      <c r="X58" s="498"/>
      <c r="Y58" s="498"/>
      <c r="Z58" s="498"/>
      <c r="AA58" s="498"/>
    </row>
    <row r="59" spans="1:27" ht="15" customHeight="1" x14ac:dyDescent="0.2">
      <c r="A59" s="286"/>
      <c r="B59" s="240" t="s">
        <v>96</v>
      </c>
      <c r="C59" s="237">
        <f>INTAKE!J$22</f>
        <v>3</v>
      </c>
      <c r="D59" s="236">
        <f>INTAKE!J21</f>
        <v>1860.64</v>
      </c>
      <c r="E59" s="234">
        <f t="shared" ref="E59:E61" si="13">C59*D59</f>
        <v>5581.92</v>
      </c>
      <c r="F59" s="233">
        <f>SUM(1+G49/1)*D59</f>
        <v>2195.5551999999998</v>
      </c>
      <c r="G59" s="232">
        <f t="shared" ref="G59:G61" si="14">C59*F59</f>
        <v>6586.6655999999994</v>
      </c>
      <c r="H59" s="718">
        <f>2.2*H58</f>
        <v>2815.2520000000004</v>
      </c>
      <c r="I59" s="242">
        <f>C59*H59</f>
        <v>8445.7560000000012</v>
      </c>
      <c r="J59" s="230">
        <f>IF($U$20&lt;0%,0,SUM(H59)*(1-K48)*1)</f>
        <v>2111.4390000000003</v>
      </c>
      <c r="K59" s="231">
        <f t="shared" ref="K59:K61" si="15">IF(J59=0,0,C59*J59)</f>
        <v>6334.3170000000009</v>
      </c>
      <c r="L59" s="244">
        <f>IF($Z$17=0,0,SUM(J59)*(1-M48)*1)</f>
        <v>0</v>
      </c>
      <c r="M59" s="242">
        <f>C59*L59</f>
        <v>0</v>
      </c>
      <c r="N59" s="336"/>
      <c r="O59" s="299"/>
      <c r="P59" s="299"/>
      <c r="Q59" s="299"/>
      <c r="R59" s="299"/>
      <c r="S59" s="299"/>
      <c r="T59" s="299"/>
      <c r="U59" s="299"/>
      <c r="V59" s="498"/>
      <c r="W59" s="498"/>
      <c r="X59" s="498"/>
      <c r="Y59" s="498"/>
      <c r="Z59" s="498"/>
      <c r="AA59" s="498"/>
    </row>
    <row r="60" spans="1:27" ht="15" customHeight="1" x14ac:dyDescent="0.2">
      <c r="A60" s="286"/>
      <c r="B60" s="240" t="s">
        <v>98</v>
      </c>
      <c r="C60" s="237">
        <f>INTAKE!K$22</f>
        <v>0</v>
      </c>
      <c r="D60" s="236">
        <f>INTAKE!K21</f>
        <v>1612.57</v>
      </c>
      <c r="E60" s="234">
        <f t="shared" si="13"/>
        <v>0</v>
      </c>
      <c r="F60" s="233">
        <f>SUM(1+G49/1)*D60</f>
        <v>1902.8325999999997</v>
      </c>
      <c r="G60" s="232">
        <f t="shared" si="14"/>
        <v>0</v>
      </c>
      <c r="H60" s="719">
        <f>1.8*H58</f>
        <v>2303.3880000000004</v>
      </c>
      <c r="I60" s="242">
        <f>C60*H60</f>
        <v>0</v>
      </c>
      <c r="J60" s="230">
        <f>IF($U$20&lt;0%,0,SUM(H60)*(1-K48)*1)</f>
        <v>1727.5410000000002</v>
      </c>
      <c r="K60" s="231">
        <f t="shared" si="15"/>
        <v>0</v>
      </c>
      <c r="L60" s="244">
        <f>IF($Z$17=0,0,SUM(J60)*(1-M48)*1)</f>
        <v>0</v>
      </c>
      <c r="M60" s="242">
        <f>C60*L60</f>
        <v>0</v>
      </c>
      <c r="N60" s="336"/>
      <c r="O60" s="299"/>
      <c r="P60" s="299"/>
      <c r="Q60" s="299"/>
      <c r="R60" s="299"/>
      <c r="S60" s="299"/>
      <c r="T60" s="299"/>
      <c r="U60" s="299"/>
      <c r="V60" s="498"/>
      <c r="W60" s="498"/>
      <c r="X60" s="498"/>
      <c r="Y60" s="498"/>
      <c r="Z60" s="498"/>
      <c r="AA60" s="498"/>
    </row>
    <row r="61" spans="1:27" ht="15" customHeight="1" x14ac:dyDescent="0.2">
      <c r="A61" s="286"/>
      <c r="B61" s="240" t="s">
        <v>100</v>
      </c>
      <c r="C61" s="237">
        <f>INTAKE!L$22</f>
        <v>1</v>
      </c>
      <c r="D61" s="236">
        <f>INTAKE!L21</f>
        <v>2580.12</v>
      </c>
      <c r="E61" s="234">
        <f t="shared" si="13"/>
        <v>2580.12</v>
      </c>
      <c r="F61" s="361">
        <f>SUM(1+G49/1)*D61</f>
        <v>3044.5415999999996</v>
      </c>
      <c r="G61" s="232">
        <f t="shared" si="14"/>
        <v>3044.5415999999996</v>
      </c>
      <c r="H61" s="719">
        <f>3.1*H58</f>
        <v>3966.9460000000004</v>
      </c>
      <c r="I61" s="242">
        <f>C61*H61</f>
        <v>3966.9460000000004</v>
      </c>
      <c r="J61" s="230">
        <f>IF($U$20&lt;0%,0,SUM(H61)*(1-K48)*1)</f>
        <v>2975.2095000000004</v>
      </c>
      <c r="K61" s="231">
        <f t="shared" si="15"/>
        <v>2975.2095000000004</v>
      </c>
      <c r="L61" s="244">
        <f>IF($Z$17=0,0,SUM(J61)*(1-M48)*1)</f>
        <v>0</v>
      </c>
      <c r="M61" s="242">
        <f>C61*L61</f>
        <v>0</v>
      </c>
      <c r="N61" s="336"/>
      <c r="O61" s="299"/>
      <c r="P61" s="299"/>
      <c r="Q61" s="299"/>
      <c r="R61" s="299"/>
      <c r="S61" s="299"/>
      <c r="T61" s="299"/>
      <c r="U61" s="299"/>
      <c r="V61" s="498"/>
      <c r="W61" s="498"/>
      <c r="X61" s="498"/>
      <c r="Y61" s="498"/>
      <c r="Z61" s="498"/>
      <c r="AA61" s="498"/>
    </row>
    <row r="62" spans="1:27" ht="15" customHeight="1" x14ac:dyDescent="0.2">
      <c r="A62" s="286"/>
      <c r="B62" s="924"/>
      <c r="C62" s="925"/>
      <c r="D62" s="358" t="s">
        <v>1734</v>
      </c>
      <c r="E62" s="356">
        <f>SUM(E58:E61)</f>
        <v>11469.8</v>
      </c>
      <c r="F62" s="362" t="s">
        <v>1734</v>
      </c>
      <c r="G62" s="360">
        <f>SUM(G58:G61)</f>
        <v>13534.363999999998</v>
      </c>
      <c r="H62" s="346" t="s">
        <v>1734</v>
      </c>
      <c r="I62" s="347">
        <f>SUM(I58:I61)</f>
        <v>17531.342000000001</v>
      </c>
      <c r="J62" s="350" t="s">
        <v>1734</v>
      </c>
      <c r="K62" s="351">
        <f>IF($M$6&lt;0%=0,0,SUM(K58:K61))</f>
        <v>13148.506500000003</v>
      </c>
      <c r="L62" s="352" t="s">
        <v>1734</v>
      </c>
      <c r="M62" s="347">
        <f>SUM(M58:M61)</f>
        <v>0</v>
      </c>
      <c r="N62" s="336"/>
      <c r="O62" s="299"/>
      <c r="P62" s="299"/>
      <c r="Q62" s="299"/>
      <c r="R62" s="299"/>
      <c r="S62" s="299"/>
      <c r="T62" s="299"/>
      <c r="U62" s="299"/>
      <c r="V62" s="498"/>
      <c r="W62" s="498"/>
      <c r="X62" s="498"/>
      <c r="Y62" s="498"/>
      <c r="Z62" s="498"/>
      <c r="AA62" s="498"/>
    </row>
    <row r="63" spans="1:27" ht="15" customHeight="1" x14ac:dyDescent="0.2">
      <c r="A63" s="286"/>
      <c r="B63" s="926"/>
      <c r="C63" s="927"/>
      <c r="D63" s="358" t="s">
        <v>1767</v>
      </c>
      <c r="E63" s="359">
        <f>E62*12</f>
        <v>137637.59999999998</v>
      </c>
      <c r="F63" s="362" t="s">
        <v>1767</v>
      </c>
      <c r="G63" s="363">
        <f>G62*12</f>
        <v>162412.36799999996</v>
      </c>
      <c r="H63" s="348" t="s">
        <v>1767</v>
      </c>
      <c r="I63" s="349">
        <f>I62*12</f>
        <v>210376.10399999999</v>
      </c>
      <c r="J63" s="353" t="s">
        <v>1767</v>
      </c>
      <c r="K63" s="354">
        <f>K62*12</f>
        <v>157782.07800000004</v>
      </c>
      <c r="L63" s="355" t="s">
        <v>1767</v>
      </c>
      <c r="M63" s="349">
        <f>M62*12</f>
        <v>0</v>
      </c>
      <c r="N63" s="336"/>
      <c r="O63" s="299"/>
      <c r="P63" s="299"/>
      <c r="Q63" s="299"/>
      <c r="R63" s="299"/>
      <c r="S63" s="299"/>
      <c r="T63" s="299"/>
      <c r="U63" s="299"/>
      <c r="V63" s="498"/>
      <c r="W63" s="498"/>
      <c r="X63" s="498"/>
      <c r="Y63" s="498"/>
      <c r="Z63" s="498"/>
      <c r="AA63" s="498"/>
    </row>
    <row r="64" spans="1:27" ht="15" customHeight="1" thickBot="1" x14ac:dyDescent="0.25">
      <c r="A64" s="286"/>
      <c r="B64" s="928"/>
      <c r="C64" s="929"/>
      <c r="D64" s="930"/>
      <c r="E64" s="931"/>
      <c r="F64" s="932"/>
      <c r="G64" s="933"/>
      <c r="H64" s="255" t="s">
        <v>1731</v>
      </c>
      <c r="I64" s="256">
        <f>IF(I62&lt;1,"",(E63-I63)/E63*-1)</f>
        <v>0.52847843903119518</v>
      </c>
      <c r="J64" s="257" t="s">
        <v>1731</v>
      </c>
      <c r="K64" s="258">
        <f>IF(K63=0,0,(E63-K63)/E63*-1)</f>
        <v>0.14635882927339669</v>
      </c>
      <c r="L64" s="259" t="s">
        <v>1731</v>
      </c>
      <c r="M64" s="256">
        <f>IF(I62=0,0,(E63-M63)/E63*-1)</f>
        <v>-1</v>
      </c>
      <c r="N64" s="336"/>
      <c r="O64" s="299"/>
      <c r="P64" s="299"/>
      <c r="Q64" s="299"/>
      <c r="R64" s="299"/>
      <c r="S64" s="299"/>
      <c r="T64" s="299"/>
      <c r="U64" s="299"/>
      <c r="V64" s="498"/>
      <c r="W64" s="498"/>
      <c r="X64" s="498"/>
      <c r="Y64" s="498"/>
      <c r="Z64" s="498"/>
      <c r="AA64" s="498"/>
    </row>
    <row r="65" spans="1:27" ht="15" customHeight="1" thickTop="1" thickBot="1" x14ac:dyDescent="0.25">
      <c r="A65" s="286"/>
      <c r="B65" s="985" t="s">
        <v>116</v>
      </c>
      <c r="C65" s="986"/>
      <c r="D65" s="980" t="s">
        <v>68</v>
      </c>
      <c r="E65" s="981"/>
      <c r="F65" s="981"/>
      <c r="G65" s="982"/>
      <c r="H65" s="959" t="s">
        <v>69</v>
      </c>
      <c r="I65" s="960"/>
      <c r="J65" s="960"/>
      <c r="K65" s="960"/>
      <c r="L65" s="960"/>
      <c r="M65" s="961"/>
      <c r="N65" s="336"/>
      <c r="O65" s="299"/>
      <c r="P65" s="299"/>
      <c r="Q65" s="299"/>
      <c r="R65" s="299"/>
      <c r="S65" s="299"/>
      <c r="T65" s="299"/>
      <c r="U65" s="299"/>
      <c r="V65" s="498"/>
      <c r="W65" s="498"/>
      <c r="X65" s="498"/>
      <c r="Y65" s="498"/>
      <c r="Z65" s="498"/>
      <c r="AA65" s="498"/>
    </row>
    <row r="66" spans="1:27" ht="15" customHeight="1" thickTop="1" thickBot="1" x14ac:dyDescent="0.25">
      <c r="A66" s="286"/>
      <c r="B66" s="987"/>
      <c r="C66" s="988"/>
      <c r="D66" s="962" t="s">
        <v>74</v>
      </c>
      <c r="E66" s="963"/>
      <c r="F66" s="966" t="s">
        <v>75</v>
      </c>
      <c r="G66" s="967"/>
      <c r="H66" s="970" t="s">
        <v>76</v>
      </c>
      <c r="I66" s="971"/>
      <c r="J66" s="972" t="s">
        <v>1735</v>
      </c>
      <c r="K66" s="973"/>
      <c r="L66" s="970" t="s">
        <v>1736</v>
      </c>
      <c r="M66" s="971"/>
      <c r="N66" s="336"/>
      <c r="O66" s="299"/>
      <c r="P66" s="299"/>
      <c r="Q66" s="299"/>
      <c r="R66" s="299"/>
      <c r="S66" s="299"/>
      <c r="T66" s="299"/>
      <c r="U66" s="299"/>
      <c r="V66" s="498"/>
      <c r="W66" s="498"/>
      <c r="X66" s="498"/>
      <c r="Y66" s="498"/>
      <c r="Z66" s="498"/>
      <c r="AA66" s="498"/>
    </row>
    <row r="67" spans="1:27" ht="15" customHeight="1" thickTop="1" thickBot="1" x14ac:dyDescent="0.25">
      <c r="A67" s="286"/>
      <c r="B67" s="987"/>
      <c r="C67" s="988"/>
      <c r="D67" s="964"/>
      <c r="E67" s="965"/>
      <c r="F67" s="968"/>
      <c r="G67" s="969"/>
      <c r="H67" s="343" t="s">
        <v>1732</v>
      </c>
      <c r="I67" s="341"/>
      <c r="J67" s="345" t="s">
        <v>1733</v>
      </c>
      <c r="K67" s="577">
        <f>IF(E68=0,0,VLOOKUP(E68,RBRATES,2,0))</f>
        <v>0</v>
      </c>
      <c r="L67" s="343" t="s">
        <v>80</v>
      </c>
      <c r="M67" s="510">
        <f>$Z$18</f>
        <v>0</v>
      </c>
      <c r="N67" s="336"/>
      <c r="O67" s="299"/>
      <c r="P67" s="299"/>
      <c r="Q67" s="299"/>
      <c r="R67" s="299"/>
      <c r="S67" s="299"/>
      <c r="T67" s="299"/>
      <c r="U67" s="299"/>
      <c r="V67" s="498"/>
      <c r="W67" s="498"/>
      <c r="X67" s="498"/>
      <c r="Y67" s="498"/>
      <c r="Z67" s="498"/>
      <c r="AA67" s="498"/>
    </row>
    <row r="68" spans="1:27" ht="15" customHeight="1" thickTop="1" thickBot="1" x14ac:dyDescent="0.25">
      <c r="A68" s="286"/>
      <c r="B68" s="989"/>
      <c r="C68" s="990"/>
      <c r="D68" s="565" t="s">
        <v>1850</v>
      </c>
      <c r="E68" s="562">
        <f>INTAKE!C23</f>
        <v>0</v>
      </c>
      <c r="F68" s="342" t="s">
        <v>78</v>
      </c>
      <c r="G68" s="564" t="b">
        <f>IF(E68="HMO",$F$5,IF(E68="PPO",$H$5,IF(E68="CDHP",$J$5)))</f>
        <v>0</v>
      </c>
      <c r="H68" s="344" t="s">
        <v>82</v>
      </c>
      <c r="I68" s="341"/>
      <c r="J68" s="947"/>
      <c r="K68" s="948"/>
      <c r="L68" s="949"/>
      <c r="M68" s="950"/>
      <c r="N68" s="336"/>
      <c r="O68" s="299"/>
      <c r="P68" s="299"/>
      <c r="Q68" s="299"/>
      <c r="R68" s="299"/>
      <c r="S68" s="299"/>
      <c r="T68" s="299"/>
      <c r="U68" s="299"/>
      <c r="V68" s="498"/>
      <c r="W68" s="498"/>
      <c r="X68" s="498"/>
      <c r="Y68" s="498"/>
      <c r="Z68" s="498"/>
      <c r="AA68" s="498"/>
    </row>
    <row r="69" spans="1:27" ht="15" customHeight="1" thickTop="1" x14ac:dyDescent="0.2">
      <c r="A69" s="286"/>
      <c r="B69" s="951" t="s">
        <v>32</v>
      </c>
      <c r="C69" s="952"/>
      <c r="D69" s="953">
        <f>INTAKE!D23</f>
        <v>0</v>
      </c>
      <c r="E69" s="954"/>
      <c r="F69" s="955"/>
      <c r="G69" s="956"/>
      <c r="H69" s="917" t="e">
        <f>VLOOKUP(I67,[3]PLANS!$A$1:$H$107,2,FALSE)</f>
        <v>#N/A</v>
      </c>
      <c r="I69" s="958"/>
      <c r="J69" s="919" t="e">
        <f t="shared" ref="J69:J75" si="16">H69</f>
        <v>#N/A</v>
      </c>
      <c r="K69" s="920"/>
      <c r="L69" s="921" t="e">
        <f t="shared" ref="L69:L75" si="17">H69</f>
        <v>#N/A</v>
      </c>
      <c r="M69" s="918"/>
      <c r="N69" s="336"/>
      <c r="O69" s="299"/>
      <c r="P69" s="299"/>
      <c r="Q69" s="299"/>
      <c r="R69" s="299"/>
      <c r="S69" s="299"/>
      <c r="T69" s="299"/>
      <c r="U69" s="299"/>
      <c r="V69" s="498"/>
      <c r="W69" s="498"/>
      <c r="X69" s="498"/>
      <c r="Y69" s="498"/>
      <c r="Z69" s="498"/>
      <c r="AA69" s="498"/>
    </row>
    <row r="70" spans="1:27" ht="15" customHeight="1" x14ac:dyDescent="0.2">
      <c r="A70" s="286"/>
      <c r="B70" s="938" t="s">
        <v>36</v>
      </c>
      <c r="C70" s="939"/>
      <c r="D70" s="936">
        <f>INTAKE!N$23</f>
        <v>0</v>
      </c>
      <c r="E70" s="937"/>
      <c r="F70" s="955"/>
      <c r="G70" s="957"/>
      <c r="H70" s="917" t="e">
        <f>VLOOKUP(I67,[3]PLANS!$A$1:$H$107,3,FALSE)</f>
        <v>#N/A</v>
      </c>
      <c r="I70" s="918"/>
      <c r="J70" s="919" t="e">
        <f t="shared" si="16"/>
        <v>#N/A</v>
      </c>
      <c r="K70" s="920"/>
      <c r="L70" s="921" t="e">
        <f t="shared" si="17"/>
        <v>#N/A</v>
      </c>
      <c r="M70" s="918"/>
      <c r="N70" s="336"/>
      <c r="O70" s="299"/>
      <c r="P70" s="299"/>
      <c r="Q70" s="299"/>
      <c r="R70" s="299"/>
      <c r="S70" s="299"/>
      <c r="T70" s="299"/>
      <c r="U70" s="299"/>
      <c r="V70" s="498"/>
      <c r="W70" s="498"/>
      <c r="X70" s="498"/>
      <c r="Y70" s="498"/>
      <c r="Z70" s="498"/>
      <c r="AA70" s="498"/>
    </row>
    <row r="71" spans="1:27" ht="15" customHeight="1" x14ac:dyDescent="0.2">
      <c r="A71" s="286"/>
      <c r="B71" s="945" t="s">
        <v>37</v>
      </c>
      <c r="C71" s="946"/>
      <c r="D71" s="936">
        <f>INTAKE!O$23</f>
        <v>0</v>
      </c>
      <c r="E71" s="937"/>
      <c r="F71" s="955"/>
      <c r="G71" s="957"/>
      <c r="H71" s="917" t="e">
        <f>VLOOKUP(I67,[3]PLANS!$A$1:$H$107,4,FALSE)</f>
        <v>#N/A</v>
      </c>
      <c r="I71" s="918"/>
      <c r="J71" s="919" t="e">
        <f t="shared" si="16"/>
        <v>#N/A</v>
      </c>
      <c r="K71" s="920"/>
      <c r="L71" s="921" t="e">
        <f t="shared" si="17"/>
        <v>#N/A</v>
      </c>
      <c r="M71" s="918"/>
      <c r="N71" s="336"/>
      <c r="O71" s="299"/>
      <c r="P71" s="299"/>
      <c r="Q71" s="299"/>
      <c r="R71" s="299"/>
      <c r="S71" s="299"/>
      <c r="T71" s="299"/>
      <c r="U71" s="299"/>
      <c r="V71" s="498"/>
      <c r="W71" s="498"/>
      <c r="X71" s="498"/>
      <c r="Y71" s="498"/>
      <c r="Z71" s="498"/>
      <c r="AA71" s="498"/>
    </row>
    <row r="72" spans="1:27" ht="15" customHeight="1" x14ac:dyDescent="0.2">
      <c r="A72" s="286"/>
      <c r="B72" s="934" t="s">
        <v>38</v>
      </c>
      <c r="C72" s="935"/>
      <c r="D72" s="915">
        <f>INTAKE!P$23</f>
        <v>0</v>
      </c>
      <c r="E72" s="916"/>
      <c r="F72" s="955"/>
      <c r="G72" s="957"/>
      <c r="H72" s="917" t="e">
        <f>VLOOKUP(I67,[3]PLANS!$A$1:$H$107,5,FALSE)</f>
        <v>#N/A</v>
      </c>
      <c r="I72" s="918"/>
      <c r="J72" s="919" t="e">
        <f t="shared" si="16"/>
        <v>#N/A</v>
      </c>
      <c r="K72" s="920"/>
      <c r="L72" s="921" t="e">
        <f t="shared" si="17"/>
        <v>#N/A</v>
      </c>
      <c r="M72" s="918"/>
      <c r="N72" s="336"/>
      <c r="O72" s="299"/>
      <c r="P72" s="299"/>
      <c r="Q72" s="299"/>
      <c r="R72" s="299"/>
      <c r="S72" s="299"/>
      <c r="T72" s="299"/>
      <c r="U72" s="299"/>
      <c r="V72" s="498"/>
      <c r="W72" s="498"/>
      <c r="X72" s="498"/>
      <c r="Y72" s="498"/>
      <c r="Z72" s="498"/>
      <c r="AA72" s="498"/>
    </row>
    <row r="73" spans="1:27" ht="15" customHeight="1" x14ac:dyDescent="0.2">
      <c r="A73" s="286"/>
      <c r="B73" s="934" t="s">
        <v>39</v>
      </c>
      <c r="C73" s="935"/>
      <c r="D73" s="915">
        <f>INTAKE!Q$23</f>
        <v>0</v>
      </c>
      <c r="E73" s="916"/>
      <c r="F73" s="955"/>
      <c r="G73" s="957"/>
      <c r="H73" s="917" t="e">
        <f>VLOOKUP(I67,[3]PLANS!$A$1:$H$107,6,FALSE)</f>
        <v>#N/A</v>
      </c>
      <c r="I73" s="918"/>
      <c r="J73" s="919" t="e">
        <f t="shared" si="16"/>
        <v>#N/A</v>
      </c>
      <c r="K73" s="920"/>
      <c r="L73" s="921" t="e">
        <f t="shared" si="17"/>
        <v>#N/A</v>
      </c>
      <c r="M73" s="918"/>
      <c r="N73" s="336"/>
      <c r="O73" s="299"/>
      <c r="P73" s="299"/>
      <c r="Q73" s="299"/>
      <c r="R73" s="299"/>
      <c r="S73" s="299"/>
      <c r="T73" s="299"/>
      <c r="U73" s="299"/>
      <c r="V73" s="498"/>
      <c r="W73" s="498"/>
      <c r="X73" s="498"/>
      <c r="Y73" s="498"/>
      <c r="Z73" s="498"/>
      <c r="AA73" s="498"/>
    </row>
    <row r="74" spans="1:27" ht="15" customHeight="1" x14ac:dyDescent="0.2">
      <c r="A74" s="286"/>
      <c r="B74" s="934" t="s">
        <v>90</v>
      </c>
      <c r="C74" s="935"/>
      <c r="D74" s="936">
        <f>INTAKE!R$23</f>
        <v>0</v>
      </c>
      <c r="E74" s="937"/>
      <c r="F74" s="955"/>
      <c r="G74" s="957"/>
      <c r="H74" s="917" t="e">
        <f>VLOOKUP(I67,[3]PLANS!$A$1:$H$107,7,FALSE)</f>
        <v>#N/A</v>
      </c>
      <c r="I74" s="918"/>
      <c r="J74" s="919" t="e">
        <f t="shared" si="16"/>
        <v>#N/A</v>
      </c>
      <c r="K74" s="920"/>
      <c r="L74" s="921" t="e">
        <f t="shared" si="17"/>
        <v>#N/A</v>
      </c>
      <c r="M74" s="918"/>
      <c r="N74" s="336"/>
      <c r="O74" s="299"/>
      <c r="P74" s="299"/>
      <c r="Q74" s="299"/>
      <c r="R74" s="299"/>
      <c r="S74" s="299"/>
      <c r="T74" s="299"/>
      <c r="U74" s="299"/>
      <c r="V74" s="498"/>
      <c r="W74" s="498"/>
      <c r="X74" s="498"/>
      <c r="Y74" s="498"/>
      <c r="Z74" s="498"/>
      <c r="AA74" s="498"/>
    </row>
    <row r="75" spans="1:27" ht="15" customHeight="1" x14ac:dyDescent="0.2">
      <c r="A75" s="286"/>
      <c r="B75" s="938" t="s">
        <v>92</v>
      </c>
      <c r="C75" s="939"/>
      <c r="D75" s="936">
        <f>INTAKE!S$23</f>
        <v>0</v>
      </c>
      <c r="E75" s="937"/>
      <c r="F75" s="955"/>
      <c r="G75" s="957"/>
      <c r="H75" s="940" t="e">
        <f>VLOOKUP(I67,[3]PLANS!$A$1:$H$107,8,FALSE)</f>
        <v>#N/A</v>
      </c>
      <c r="I75" s="941"/>
      <c r="J75" s="942" t="e">
        <f t="shared" si="16"/>
        <v>#N/A</v>
      </c>
      <c r="K75" s="943"/>
      <c r="L75" s="944" t="e">
        <f t="shared" si="17"/>
        <v>#N/A</v>
      </c>
      <c r="M75" s="941"/>
      <c r="N75" s="336"/>
      <c r="O75" s="299"/>
      <c r="P75" s="299"/>
      <c r="Q75" s="299"/>
      <c r="R75" s="299"/>
      <c r="S75" s="299"/>
      <c r="T75" s="299"/>
      <c r="U75" s="299"/>
      <c r="V75" s="498"/>
      <c r="W75" s="498"/>
      <c r="X75" s="498"/>
      <c r="Y75" s="498"/>
      <c r="Z75" s="498"/>
      <c r="AA75" s="498"/>
    </row>
    <row r="76" spans="1:27" ht="15" customHeight="1" thickBot="1" x14ac:dyDescent="0.25">
      <c r="A76" s="286"/>
      <c r="B76" s="922" t="s">
        <v>93</v>
      </c>
      <c r="C76" s="923"/>
      <c r="D76" s="245" t="s">
        <v>29</v>
      </c>
      <c r="E76" s="246" t="s">
        <v>94</v>
      </c>
      <c r="F76" s="247" t="s">
        <v>29</v>
      </c>
      <c r="G76" s="248" t="s">
        <v>94</v>
      </c>
      <c r="H76" s="366" t="s">
        <v>29</v>
      </c>
      <c r="I76" s="249" t="s">
        <v>94</v>
      </c>
      <c r="J76" s="250" t="s">
        <v>29</v>
      </c>
      <c r="K76" s="251" t="s">
        <v>94</v>
      </c>
      <c r="L76" s="252" t="s">
        <v>29</v>
      </c>
      <c r="M76" s="249" t="s">
        <v>94</v>
      </c>
      <c r="N76" s="336"/>
      <c r="O76" s="299"/>
      <c r="P76" s="299"/>
      <c r="Q76" s="299"/>
      <c r="R76" s="299"/>
      <c r="S76" s="299"/>
      <c r="T76" s="299"/>
      <c r="U76" s="299"/>
      <c r="V76" s="498"/>
      <c r="W76" s="498"/>
      <c r="X76" s="498"/>
      <c r="Y76" s="498"/>
      <c r="Z76" s="498"/>
      <c r="AA76" s="498"/>
    </row>
    <row r="77" spans="1:27" ht="15" customHeight="1" thickBot="1" x14ac:dyDescent="0.25">
      <c r="A77" s="286"/>
      <c r="B77" s="240" t="s">
        <v>95</v>
      </c>
      <c r="C77" s="237">
        <f>INTAKE!I$24</f>
        <v>0</v>
      </c>
      <c r="D77" s="236">
        <f>INTAKE!I23</f>
        <v>0</v>
      </c>
      <c r="E77" s="234">
        <f>C77*D77</f>
        <v>0</v>
      </c>
      <c r="F77" s="233">
        <f>SUM(1+G68/1)*D77</f>
        <v>0</v>
      </c>
      <c r="G77" s="364">
        <f>C77*F77</f>
        <v>0</v>
      </c>
      <c r="H77" s="368">
        <v>0</v>
      </c>
      <c r="I77" s="365">
        <f>C77*H77</f>
        <v>0</v>
      </c>
      <c r="J77" s="230">
        <f>IF($U$20&lt;0%,0,SUM(H77)*(1-K67)*1)</f>
        <v>0</v>
      </c>
      <c r="K77" s="231">
        <f>IF(J77=0,0,C77*J77)</f>
        <v>0</v>
      </c>
      <c r="L77" s="244">
        <f>IF($Z$17=0,0,SUM(J77)*(1-M67)*1)</f>
        <v>0</v>
      </c>
      <c r="M77" s="242">
        <f>C77*L77</f>
        <v>0</v>
      </c>
      <c r="N77" s="336"/>
      <c r="O77" s="299"/>
      <c r="P77" s="299"/>
      <c r="Q77" s="299"/>
      <c r="R77" s="299"/>
      <c r="S77" s="299"/>
      <c r="T77" s="299"/>
      <c r="U77" s="299"/>
      <c r="V77" s="498"/>
      <c r="W77" s="498"/>
      <c r="X77" s="498"/>
      <c r="Y77" s="498"/>
      <c r="Z77" s="498"/>
      <c r="AA77" s="498"/>
    </row>
    <row r="78" spans="1:27" ht="15" customHeight="1" x14ac:dyDescent="0.2">
      <c r="A78" s="286"/>
      <c r="B78" s="240" t="s">
        <v>96</v>
      </c>
      <c r="C78" s="237">
        <f>INTAKE!J$24</f>
        <v>0</v>
      </c>
      <c r="D78" s="236">
        <f>INTAKE!J23</f>
        <v>0</v>
      </c>
      <c r="E78" s="234">
        <f t="shared" ref="E78:E80" si="18">C78*D78</f>
        <v>0</v>
      </c>
      <c r="F78" s="233">
        <f>SUM(1+G68/1)*D78</f>
        <v>0</v>
      </c>
      <c r="G78" s="232">
        <f t="shared" ref="G78:G80" si="19">C78*F78</f>
        <v>0</v>
      </c>
      <c r="H78" s="367">
        <f>2.2*H77</f>
        <v>0</v>
      </c>
      <c r="I78" s="242">
        <f>C78*H78</f>
        <v>0</v>
      </c>
      <c r="J78" s="230">
        <f>IF($U$20&lt;0%,0,SUM(H78)*(1-K67)*1)</f>
        <v>0</v>
      </c>
      <c r="K78" s="231">
        <f t="shared" ref="K78:K80" si="20">IF(J78=0,0,C78*J78)</f>
        <v>0</v>
      </c>
      <c r="L78" s="244">
        <f>IF($Z$17=0,0,SUM(J78)*(1-M67)*1)</f>
        <v>0</v>
      </c>
      <c r="M78" s="242">
        <f>C78*L78</f>
        <v>0</v>
      </c>
      <c r="N78" s="336"/>
      <c r="O78" s="299"/>
      <c r="P78" s="299"/>
      <c r="Q78" s="299"/>
      <c r="R78" s="299"/>
      <c r="S78" s="299"/>
      <c r="T78" s="299"/>
      <c r="U78" s="299"/>
      <c r="V78" s="498"/>
      <c r="W78" s="498"/>
      <c r="X78" s="498"/>
      <c r="Y78" s="498"/>
      <c r="Z78" s="498"/>
      <c r="AA78" s="498"/>
    </row>
    <row r="79" spans="1:27" ht="15" customHeight="1" x14ac:dyDescent="0.2">
      <c r="A79" s="286"/>
      <c r="B79" s="240" t="s">
        <v>98</v>
      </c>
      <c r="C79" s="237">
        <f>INTAKE!K$24</f>
        <v>0</v>
      </c>
      <c r="D79" s="236">
        <f>INTAKE!K23</f>
        <v>0</v>
      </c>
      <c r="E79" s="234">
        <f t="shared" si="18"/>
        <v>0</v>
      </c>
      <c r="F79" s="233">
        <f>SUM(1+G68/1)*D79</f>
        <v>0</v>
      </c>
      <c r="G79" s="232">
        <f t="shared" si="19"/>
        <v>0</v>
      </c>
      <c r="H79" s="243">
        <f>1.8*H77</f>
        <v>0</v>
      </c>
      <c r="I79" s="242">
        <f>C79*H79</f>
        <v>0</v>
      </c>
      <c r="J79" s="230">
        <f>IF($U$20&lt;0%,0,SUM(H79)*(1-K67)*1)</f>
        <v>0</v>
      </c>
      <c r="K79" s="231">
        <f t="shared" si="20"/>
        <v>0</v>
      </c>
      <c r="L79" s="244">
        <f>IF($Z$17=0,0,SUM(J79)*(1-M67)*1)</f>
        <v>0</v>
      </c>
      <c r="M79" s="242">
        <f>C79*L79</f>
        <v>0</v>
      </c>
      <c r="N79" s="336"/>
      <c r="O79" s="299"/>
      <c r="P79" s="299"/>
      <c r="Q79" s="299"/>
      <c r="R79" s="299"/>
      <c r="S79" s="299"/>
      <c r="T79" s="299"/>
      <c r="U79" s="299"/>
      <c r="V79" s="498"/>
      <c r="W79" s="498"/>
      <c r="X79" s="498"/>
      <c r="Y79" s="498"/>
      <c r="Z79" s="498"/>
      <c r="AA79" s="498"/>
    </row>
    <row r="80" spans="1:27" ht="15" customHeight="1" x14ac:dyDescent="0.2">
      <c r="A80" s="286"/>
      <c r="B80" s="240" t="s">
        <v>100</v>
      </c>
      <c r="C80" s="237">
        <f>INTAKE!L$24</f>
        <v>0</v>
      </c>
      <c r="D80" s="236">
        <f>INTAKE!L23</f>
        <v>0</v>
      </c>
      <c r="E80" s="234">
        <f t="shared" si="18"/>
        <v>0</v>
      </c>
      <c r="F80" s="361">
        <f>SUM(1+G68/1)*D80</f>
        <v>0</v>
      </c>
      <c r="G80" s="232">
        <f t="shared" si="19"/>
        <v>0</v>
      </c>
      <c r="H80" s="243">
        <f>3.1*H77</f>
        <v>0</v>
      </c>
      <c r="I80" s="242">
        <f>C80*H80</f>
        <v>0</v>
      </c>
      <c r="J80" s="230">
        <f>IF($U$20&lt;0%,0,SUM(H80)*(1-K67)*1)</f>
        <v>0</v>
      </c>
      <c r="K80" s="231">
        <f t="shared" si="20"/>
        <v>0</v>
      </c>
      <c r="L80" s="244">
        <f>IF($Z$17=0,0,SUM(J80)*(1-M67)*1)</f>
        <v>0</v>
      </c>
      <c r="M80" s="242">
        <f>C80*L80</f>
        <v>0</v>
      </c>
      <c r="N80" s="336"/>
      <c r="O80" s="299"/>
      <c r="P80" s="299"/>
      <c r="Q80" s="299"/>
      <c r="R80" s="299"/>
      <c r="S80" s="299"/>
      <c r="T80" s="299"/>
      <c r="U80" s="299"/>
      <c r="V80" s="498"/>
      <c r="W80" s="498"/>
      <c r="X80" s="498"/>
      <c r="Y80" s="498"/>
      <c r="Z80" s="498"/>
      <c r="AA80" s="498"/>
    </row>
    <row r="81" spans="1:27" ht="15" customHeight="1" x14ac:dyDescent="0.2">
      <c r="A81" s="286"/>
      <c r="B81" s="924"/>
      <c r="C81" s="925"/>
      <c r="D81" s="358" t="s">
        <v>1734</v>
      </c>
      <c r="E81" s="356">
        <f>SUM(E77:E80)</f>
        <v>0</v>
      </c>
      <c r="F81" s="362" t="s">
        <v>1734</v>
      </c>
      <c r="G81" s="360">
        <f>SUM(G77:G80)</f>
        <v>0</v>
      </c>
      <c r="H81" s="346" t="s">
        <v>1734</v>
      </c>
      <c r="I81" s="347">
        <f>SUM(I77:I80)</f>
        <v>0</v>
      </c>
      <c r="J81" s="350" t="s">
        <v>1734</v>
      </c>
      <c r="K81" s="351">
        <f>IF($M$6&lt;0%=0,0,SUM(K77:K80))</f>
        <v>0</v>
      </c>
      <c r="L81" s="352" t="s">
        <v>1734</v>
      </c>
      <c r="M81" s="347">
        <f>SUM(M77:M80)</f>
        <v>0</v>
      </c>
      <c r="N81" s="336"/>
      <c r="O81" s="299"/>
      <c r="P81" s="299"/>
      <c r="Q81" s="299"/>
      <c r="R81" s="299"/>
      <c r="S81" s="299"/>
      <c r="T81" s="299"/>
      <c r="U81" s="299"/>
      <c r="V81" s="498"/>
      <c r="W81" s="498"/>
      <c r="X81" s="498"/>
      <c r="Y81" s="498"/>
      <c r="Z81" s="498"/>
      <c r="AA81" s="498"/>
    </row>
    <row r="82" spans="1:27" ht="15" customHeight="1" x14ac:dyDescent="0.2">
      <c r="A82" s="286"/>
      <c r="B82" s="926"/>
      <c r="C82" s="927"/>
      <c r="D82" s="358" t="s">
        <v>1767</v>
      </c>
      <c r="E82" s="359">
        <f>E81*12</f>
        <v>0</v>
      </c>
      <c r="F82" s="362" t="s">
        <v>1767</v>
      </c>
      <c r="G82" s="363">
        <f>G81*12</f>
        <v>0</v>
      </c>
      <c r="H82" s="348" t="s">
        <v>1767</v>
      </c>
      <c r="I82" s="349">
        <f>I81*12</f>
        <v>0</v>
      </c>
      <c r="J82" s="353" t="s">
        <v>1767</v>
      </c>
      <c r="K82" s="354">
        <f>K81*12</f>
        <v>0</v>
      </c>
      <c r="L82" s="355" t="s">
        <v>1767</v>
      </c>
      <c r="M82" s="349">
        <f>M81*12</f>
        <v>0</v>
      </c>
      <c r="N82" s="336"/>
      <c r="O82" s="299"/>
      <c r="P82" s="299"/>
      <c r="Q82" s="299"/>
      <c r="R82" s="299"/>
      <c r="S82" s="299"/>
      <c r="T82" s="299"/>
      <c r="U82" s="299"/>
      <c r="V82" s="498"/>
      <c r="W82" s="498"/>
      <c r="X82" s="498"/>
      <c r="Y82" s="498"/>
      <c r="Z82" s="498"/>
      <c r="AA82" s="498"/>
    </row>
    <row r="83" spans="1:27" ht="15" customHeight="1" thickBot="1" x14ac:dyDescent="0.25">
      <c r="A83" s="286"/>
      <c r="B83" s="928"/>
      <c r="C83" s="929"/>
      <c r="D83" s="930"/>
      <c r="E83" s="931"/>
      <c r="F83" s="932"/>
      <c r="G83" s="933"/>
      <c r="H83" s="255" t="s">
        <v>1731</v>
      </c>
      <c r="I83" s="256" t="str">
        <f>IF(I81&lt;1,"",(E82-I82)/E82*-1)</f>
        <v/>
      </c>
      <c r="J83" s="257" t="s">
        <v>1731</v>
      </c>
      <c r="K83" s="258">
        <f>IF(K82=0,0,(E82-K82)/E82*-1)</f>
        <v>0</v>
      </c>
      <c r="L83" s="259" t="s">
        <v>1731</v>
      </c>
      <c r="M83" s="256">
        <f>IF(I81=0,0,(E82-M82)/E82*-1)</f>
        <v>0</v>
      </c>
      <c r="N83" s="336"/>
      <c r="O83" s="299"/>
      <c r="P83" s="299"/>
      <c r="Q83" s="299"/>
      <c r="R83" s="299"/>
      <c r="S83" s="299"/>
      <c r="T83" s="299"/>
      <c r="U83" s="299"/>
      <c r="V83" s="498"/>
      <c r="W83" s="498"/>
      <c r="X83" s="498"/>
      <c r="Y83" s="498"/>
      <c r="Z83" s="498"/>
      <c r="AA83" s="498"/>
    </row>
    <row r="84" spans="1:27" ht="15" customHeight="1" thickTop="1" thickBot="1" x14ac:dyDescent="0.25">
      <c r="A84" s="286"/>
      <c r="B84" s="974" t="s">
        <v>117</v>
      </c>
      <c r="C84" s="975"/>
      <c r="D84" s="980" t="s">
        <v>68</v>
      </c>
      <c r="E84" s="981"/>
      <c r="F84" s="981"/>
      <c r="G84" s="982"/>
      <c r="H84" s="959" t="s">
        <v>69</v>
      </c>
      <c r="I84" s="960"/>
      <c r="J84" s="960"/>
      <c r="K84" s="960"/>
      <c r="L84" s="960"/>
      <c r="M84" s="961"/>
      <c r="N84" s="336"/>
      <c r="O84" s="299"/>
      <c r="P84" s="299"/>
      <c r="Q84" s="299"/>
      <c r="R84" s="299"/>
      <c r="S84" s="299"/>
      <c r="T84" s="299"/>
      <c r="U84" s="299"/>
      <c r="V84" s="498"/>
      <c r="W84" s="498"/>
      <c r="X84" s="498"/>
      <c r="Y84" s="498"/>
      <c r="Z84" s="498"/>
      <c r="AA84" s="498"/>
    </row>
    <row r="85" spans="1:27" ht="15" customHeight="1" thickTop="1" thickBot="1" x14ac:dyDescent="0.25">
      <c r="A85" s="286"/>
      <c r="B85" s="976"/>
      <c r="C85" s="977"/>
      <c r="D85" s="962" t="s">
        <v>74</v>
      </c>
      <c r="E85" s="963"/>
      <c r="F85" s="966" t="s">
        <v>75</v>
      </c>
      <c r="G85" s="967"/>
      <c r="H85" s="970" t="s">
        <v>76</v>
      </c>
      <c r="I85" s="971"/>
      <c r="J85" s="972" t="s">
        <v>1735</v>
      </c>
      <c r="K85" s="973"/>
      <c r="L85" s="970" t="s">
        <v>1736</v>
      </c>
      <c r="M85" s="971"/>
      <c r="N85" s="336"/>
      <c r="O85" s="299"/>
      <c r="P85" s="299"/>
      <c r="Q85" s="299"/>
      <c r="R85" s="299"/>
      <c r="S85" s="299"/>
      <c r="T85" s="299"/>
      <c r="U85" s="299"/>
      <c r="V85" s="498"/>
      <c r="W85" s="498"/>
      <c r="X85" s="498"/>
      <c r="Y85" s="498"/>
      <c r="Z85" s="498"/>
      <c r="AA85" s="498"/>
    </row>
    <row r="86" spans="1:27" ht="15" customHeight="1" thickTop="1" thickBot="1" x14ac:dyDescent="0.25">
      <c r="A86" s="286"/>
      <c r="B86" s="976"/>
      <c r="C86" s="977"/>
      <c r="D86" s="964"/>
      <c r="E86" s="965"/>
      <c r="F86" s="968"/>
      <c r="G86" s="969"/>
      <c r="H86" s="343" t="s">
        <v>1732</v>
      </c>
      <c r="I86" s="341"/>
      <c r="J86" s="345" t="s">
        <v>1733</v>
      </c>
      <c r="K86" s="577">
        <f>IF(E87=0,0,VLOOKUP(E87,RBRATES,2,0))</f>
        <v>0</v>
      </c>
      <c r="L86" s="343" t="s">
        <v>80</v>
      </c>
      <c r="M86" s="510">
        <f>$Z$18</f>
        <v>0</v>
      </c>
      <c r="N86" s="336"/>
      <c r="O86" s="299"/>
      <c r="P86" s="299"/>
      <c r="Q86" s="299"/>
      <c r="R86" s="299"/>
      <c r="S86" s="299"/>
      <c r="T86" s="299"/>
      <c r="U86" s="299"/>
      <c r="V86" s="498"/>
      <c r="W86" s="498"/>
      <c r="X86" s="498"/>
      <c r="Y86" s="498"/>
      <c r="Z86" s="498"/>
      <c r="AA86" s="498"/>
    </row>
    <row r="87" spans="1:27" ht="15" customHeight="1" thickTop="1" thickBot="1" x14ac:dyDescent="0.25">
      <c r="A87" s="286"/>
      <c r="B87" s="978"/>
      <c r="C87" s="979"/>
      <c r="D87" s="565" t="s">
        <v>1850</v>
      </c>
      <c r="E87" s="562">
        <f>INTAKE!C25</f>
        <v>0</v>
      </c>
      <c r="F87" s="342" t="s">
        <v>78</v>
      </c>
      <c r="G87" s="564" t="b">
        <f>IF(E87="HMO",$F$5,IF(E87="PPO",$H$5,IF(E87="CDHP",$J$5)))</f>
        <v>0</v>
      </c>
      <c r="H87" s="344" t="s">
        <v>82</v>
      </c>
      <c r="I87" s="341"/>
      <c r="J87" s="947"/>
      <c r="K87" s="948"/>
      <c r="L87" s="949"/>
      <c r="M87" s="950"/>
      <c r="N87" s="336"/>
      <c r="O87" s="299"/>
      <c r="P87" s="299"/>
      <c r="Q87" s="299"/>
      <c r="R87" s="299"/>
      <c r="S87" s="299"/>
      <c r="T87" s="299"/>
      <c r="U87" s="299"/>
      <c r="V87" s="498"/>
      <c r="W87" s="498"/>
      <c r="X87" s="498"/>
      <c r="Y87" s="498"/>
      <c r="Z87" s="498"/>
      <c r="AA87" s="498"/>
    </row>
    <row r="88" spans="1:27" ht="15" customHeight="1" thickTop="1" x14ac:dyDescent="0.2">
      <c r="A88" s="286"/>
      <c r="B88" s="951" t="s">
        <v>32</v>
      </c>
      <c r="C88" s="952"/>
      <c r="D88" s="953">
        <f>INTAKE!D$25</f>
        <v>0</v>
      </c>
      <c r="E88" s="954"/>
      <c r="F88" s="955"/>
      <c r="G88" s="956"/>
      <c r="H88" s="917" t="e">
        <f>VLOOKUP(I86,[3]PLANS!$A$1:$H$107,2,FALSE)</f>
        <v>#N/A</v>
      </c>
      <c r="I88" s="958"/>
      <c r="J88" s="919" t="e">
        <f t="shared" ref="J88:J94" si="21">H88</f>
        <v>#N/A</v>
      </c>
      <c r="K88" s="920"/>
      <c r="L88" s="921" t="e">
        <f t="shared" ref="L88:L94" si="22">H88</f>
        <v>#N/A</v>
      </c>
      <c r="M88" s="918"/>
      <c r="N88" s="336"/>
      <c r="O88" s="299"/>
      <c r="P88" s="299"/>
      <c r="Q88" s="299"/>
      <c r="R88" s="299"/>
      <c r="S88" s="299"/>
      <c r="T88" s="299"/>
      <c r="U88" s="299"/>
      <c r="V88" s="498"/>
      <c r="W88" s="498"/>
      <c r="X88" s="498"/>
      <c r="Y88" s="498"/>
      <c r="Z88" s="498"/>
      <c r="AA88" s="498"/>
    </row>
    <row r="89" spans="1:27" ht="15" customHeight="1" x14ac:dyDescent="0.2">
      <c r="A89" s="286"/>
      <c r="B89" s="938" t="s">
        <v>36</v>
      </c>
      <c r="C89" s="939"/>
      <c r="D89" s="936">
        <f>INTAKE!N$25</f>
        <v>0</v>
      </c>
      <c r="E89" s="937"/>
      <c r="F89" s="955"/>
      <c r="G89" s="957"/>
      <c r="H89" s="917" t="e">
        <f>VLOOKUP(I86,[3]PLANS!$A$1:$H$107,3,FALSE)</f>
        <v>#N/A</v>
      </c>
      <c r="I89" s="918"/>
      <c r="J89" s="919" t="e">
        <f t="shared" si="21"/>
        <v>#N/A</v>
      </c>
      <c r="K89" s="920"/>
      <c r="L89" s="921" t="e">
        <f t="shared" si="22"/>
        <v>#N/A</v>
      </c>
      <c r="M89" s="918"/>
      <c r="N89" s="336"/>
      <c r="O89" s="299"/>
      <c r="P89" s="299"/>
      <c r="Q89" s="299"/>
      <c r="R89" s="299"/>
      <c r="S89" s="299"/>
      <c r="T89" s="299"/>
      <c r="U89" s="299"/>
      <c r="V89" s="498"/>
      <c r="W89" s="498"/>
      <c r="X89" s="498"/>
      <c r="Y89" s="498"/>
      <c r="Z89" s="498"/>
      <c r="AA89" s="498"/>
    </row>
    <row r="90" spans="1:27" ht="15" customHeight="1" x14ac:dyDescent="0.2">
      <c r="A90" s="286"/>
      <c r="B90" s="945" t="s">
        <v>37</v>
      </c>
      <c r="C90" s="946"/>
      <c r="D90" s="936">
        <f>INTAKE!O$25</f>
        <v>0</v>
      </c>
      <c r="E90" s="937"/>
      <c r="F90" s="955"/>
      <c r="G90" s="957"/>
      <c r="H90" s="917" t="e">
        <f>VLOOKUP(I86,[3]PLANS!$A$1:$H$107,4,FALSE)</f>
        <v>#N/A</v>
      </c>
      <c r="I90" s="918"/>
      <c r="J90" s="919" t="e">
        <f t="shared" si="21"/>
        <v>#N/A</v>
      </c>
      <c r="K90" s="920"/>
      <c r="L90" s="921" t="e">
        <f t="shared" si="22"/>
        <v>#N/A</v>
      </c>
      <c r="M90" s="918"/>
      <c r="N90" s="336"/>
      <c r="O90" s="299"/>
      <c r="P90" s="299"/>
      <c r="Q90" s="299"/>
      <c r="R90" s="299"/>
      <c r="S90" s="299"/>
      <c r="T90" s="299"/>
      <c r="U90" s="299"/>
      <c r="V90" s="498"/>
      <c r="W90" s="498"/>
      <c r="X90" s="498"/>
      <c r="Y90" s="498"/>
      <c r="Z90" s="498"/>
      <c r="AA90" s="498"/>
    </row>
    <row r="91" spans="1:27" ht="15" customHeight="1" x14ac:dyDescent="0.2">
      <c r="A91" s="286"/>
      <c r="B91" s="934" t="s">
        <v>38</v>
      </c>
      <c r="C91" s="935"/>
      <c r="D91" s="915">
        <f>INTAKE!P$25</f>
        <v>0</v>
      </c>
      <c r="E91" s="916"/>
      <c r="F91" s="955"/>
      <c r="G91" s="957"/>
      <c r="H91" s="917" t="e">
        <f>VLOOKUP(I86,[3]PLANS!$A$1:$H$107,5,FALSE)</f>
        <v>#N/A</v>
      </c>
      <c r="I91" s="918"/>
      <c r="J91" s="919" t="e">
        <f t="shared" si="21"/>
        <v>#N/A</v>
      </c>
      <c r="K91" s="920"/>
      <c r="L91" s="921" t="e">
        <f t="shared" si="22"/>
        <v>#N/A</v>
      </c>
      <c r="M91" s="918"/>
      <c r="N91" s="336"/>
      <c r="O91" s="299"/>
      <c r="P91" s="299"/>
      <c r="Q91" s="299"/>
      <c r="R91" s="299"/>
      <c r="S91" s="299"/>
      <c r="T91" s="299"/>
      <c r="U91" s="299"/>
      <c r="V91" s="498"/>
      <c r="W91" s="498"/>
      <c r="X91" s="498"/>
      <c r="Y91" s="498"/>
      <c r="Z91" s="498"/>
      <c r="AA91" s="498"/>
    </row>
    <row r="92" spans="1:27" ht="15" customHeight="1" x14ac:dyDescent="0.2">
      <c r="A92" s="286"/>
      <c r="B92" s="934" t="s">
        <v>39</v>
      </c>
      <c r="C92" s="935"/>
      <c r="D92" s="915">
        <f>INTAKE!Q$25</f>
        <v>0</v>
      </c>
      <c r="E92" s="916"/>
      <c r="F92" s="955"/>
      <c r="G92" s="957"/>
      <c r="H92" s="917" t="e">
        <f>VLOOKUP(I86,[3]PLANS!$A$1:$H$107,6,FALSE)</f>
        <v>#N/A</v>
      </c>
      <c r="I92" s="918"/>
      <c r="J92" s="919" t="e">
        <f t="shared" si="21"/>
        <v>#N/A</v>
      </c>
      <c r="K92" s="920"/>
      <c r="L92" s="921" t="e">
        <f t="shared" si="22"/>
        <v>#N/A</v>
      </c>
      <c r="M92" s="918"/>
      <c r="N92" s="336"/>
      <c r="O92" s="299"/>
      <c r="P92" s="299"/>
      <c r="Q92" s="299"/>
      <c r="R92" s="299"/>
      <c r="S92" s="299"/>
      <c r="T92" s="299"/>
      <c r="U92" s="299"/>
      <c r="V92" s="498"/>
      <c r="W92" s="498"/>
      <c r="X92" s="498"/>
      <c r="Y92" s="498"/>
      <c r="Z92" s="498"/>
      <c r="AA92" s="498"/>
    </row>
    <row r="93" spans="1:27" ht="15" customHeight="1" x14ac:dyDescent="0.2">
      <c r="A93" s="286"/>
      <c r="B93" s="934" t="s">
        <v>90</v>
      </c>
      <c r="C93" s="935"/>
      <c r="D93" s="936">
        <f>INTAKE!R$25</f>
        <v>0</v>
      </c>
      <c r="E93" s="937"/>
      <c r="F93" s="955"/>
      <c r="G93" s="957"/>
      <c r="H93" s="917" t="e">
        <f>VLOOKUP(I86,[3]PLANS!$A$1:$H$107,7,FALSE)</f>
        <v>#N/A</v>
      </c>
      <c r="I93" s="918"/>
      <c r="J93" s="919" t="e">
        <f t="shared" si="21"/>
        <v>#N/A</v>
      </c>
      <c r="K93" s="920"/>
      <c r="L93" s="921" t="e">
        <f t="shared" si="22"/>
        <v>#N/A</v>
      </c>
      <c r="M93" s="918"/>
      <c r="N93" s="336"/>
      <c r="O93" s="299"/>
      <c r="P93" s="299"/>
      <c r="Q93" s="299"/>
      <c r="R93" s="299"/>
      <c r="S93" s="299"/>
      <c r="T93" s="299"/>
      <c r="U93" s="299"/>
      <c r="V93" s="498"/>
      <c r="W93" s="498"/>
      <c r="X93" s="498"/>
      <c r="Y93" s="498"/>
      <c r="Z93" s="498"/>
      <c r="AA93" s="498"/>
    </row>
    <row r="94" spans="1:27" ht="15" customHeight="1" x14ac:dyDescent="0.2">
      <c r="A94" s="286"/>
      <c r="B94" s="938" t="s">
        <v>92</v>
      </c>
      <c r="C94" s="939"/>
      <c r="D94" s="936">
        <f>INTAKE!S$25</f>
        <v>0</v>
      </c>
      <c r="E94" s="937"/>
      <c r="F94" s="955"/>
      <c r="G94" s="957"/>
      <c r="H94" s="940" t="e">
        <f>VLOOKUP(I86,[3]PLANS!$A$1:$H$107,8,FALSE)</f>
        <v>#N/A</v>
      </c>
      <c r="I94" s="941"/>
      <c r="J94" s="942" t="e">
        <f t="shared" si="21"/>
        <v>#N/A</v>
      </c>
      <c r="K94" s="943"/>
      <c r="L94" s="944" t="e">
        <f t="shared" si="22"/>
        <v>#N/A</v>
      </c>
      <c r="M94" s="941"/>
      <c r="N94" s="336"/>
      <c r="O94" s="299"/>
      <c r="P94" s="299"/>
      <c r="Q94" s="299"/>
      <c r="R94" s="299"/>
      <c r="S94" s="299"/>
      <c r="T94" s="299"/>
      <c r="U94" s="299"/>
      <c r="V94" s="498"/>
      <c r="W94" s="498"/>
      <c r="X94" s="498"/>
      <c r="Y94" s="498"/>
      <c r="Z94" s="498"/>
      <c r="AA94" s="498"/>
    </row>
    <row r="95" spans="1:27" ht="15" customHeight="1" thickBot="1" x14ac:dyDescent="0.25">
      <c r="A95" s="286"/>
      <c r="B95" s="922" t="s">
        <v>93</v>
      </c>
      <c r="C95" s="923"/>
      <c r="D95" s="245" t="s">
        <v>29</v>
      </c>
      <c r="E95" s="246" t="s">
        <v>94</v>
      </c>
      <c r="F95" s="247" t="s">
        <v>29</v>
      </c>
      <c r="G95" s="248" t="s">
        <v>94</v>
      </c>
      <c r="H95" s="366" t="s">
        <v>29</v>
      </c>
      <c r="I95" s="249" t="s">
        <v>94</v>
      </c>
      <c r="J95" s="250" t="s">
        <v>29</v>
      </c>
      <c r="K95" s="251" t="s">
        <v>94</v>
      </c>
      <c r="L95" s="252" t="s">
        <v>29</v>
      </c>
      <c r="M95" s="249" t="s">
        <v>94</v>
      </c>
      <c r="N95" s="336"/>
      <c r="O95" s="299"/>
      <c r="P95" s="299"/>
      <c r="Q95" s="299"/>
      <c r="R95" s="299"/>
      <c r="S95" s="299"/>
      <c r="T95" s="299"/>
      <c r="U95" s="299"/>
      <c r="V95" s="498"/>
      <c r="W95" s="498"/>
      <c r="X95" s="498"/>
      <c r="Y95" s="498"/>
      <c r="Z95" s="498"/>
      <c r="AA95" s="498"/>
    </row>
    <row r="96" spans="1:27" ht="15" customHeight="1" thickBot="1" x14ac:dyDescent="0.25">
      <c r="A96" s="286"/>
      <c r="B96" s="240" t="s">
        <v>95</v>
      </c>
      <c r="C96" s="237">
        <f>INTAKE!I$26</f>
        <v>0</v>
      </c>
      <c r="D96" s="236">
        <f>INTAKE!I25</f>
        <v>0</v>
      </c>
      <c r="E96" s="234">
        <f>C96*D96</f>
        <v>0</v>
      </c>
      <c r="F96" s="233">
        <f>SUM(1+G87/1)*D96</f>
        <v>0</v>
      </c>
      <c r="G96" s="364">
        <f>C96*F96</f>
        <v>0</v>
      </c>
      <c r="H96" s="368">
        <v>0</v>
      </c>
      <c r="I96" s="365">
        <f>C96*H96</f>
        <v>0</v>
      </c>
      <c r="J96" s="230">
        <f>IF($U$20&lt;0%,0,SUM(H96)*(1-K86)*1)</f>
        <v>0</v>
      </c>
      <c r="K96" s="231">
        <f>IF(J96=0,0,C96*J96)</f>
        <v>0</v>
      </c>
      <c r="L96" s="244">
        <f>IF($Z$17=0,0,SUM(J96)*(1-M86)*1)</f>
        <v>0</v>
      </c>
      <c r="M96" s="242">
        <f>C96*L96</f>
        <v>0</v>
      </c>
      <c r="N96" s="336"/>
      <c r="O96" s="299"/>
      <c r="P96" s="299"/>
      <c r="Q96" s="299"/>
      <c r="R96" s="299"/>
      <c r="S96" s="299"/>
      <c r="T96" s="299"/>
      <c r="U96" s="299"/>
      <c r="V96" s="498"/>
      <c r="W96" s="498"/>
      <c r="X96" s="498"/>
      <c r="Y96" s="498"/>
      <c r="Z96" s="498"/>
      <c r="AA96" s="498"/>
    </row>
    <row r="97" spans="1:27" ht="15" customHeight="1" x14ac:dyDescent="0.2">
      <c r="A97" s="286"/>
      <c r="B97" s="240" t="s">
        <v>96</v>
      </c>
      <c r="C97" s="237">
        <f>INTAKE!J$26</f>
        <v>0</v>
      </c>
      <c r="D97" s="236">
        <f>INTAKE!J25</f>
        <v>0</v>
      </c>
      <c r="E97" s="234">
        <f t="shared" ref="E97:E99" si="23">C97*D97</f>
        <v>0</v>
      </c>
      <c r="F97" s="233">
        <f>SUM(1+G87/1)*D97</f>
        <v>0</v>
      </c>
      <c r="G97" s="232">
        <f t="shared" ref="G97:G99" si="24">C97*F97</f>
        <v>0</v>
      </c>
      <c r="H97" s="367">
        <f>2.2*H96</f>
        <v>0</v>
      </c>
      <c r="I97" s="242">
        <f>C97*H97</f>
        <v>0</v>
      </c>
      <c r="J97" s="230">
        <f>IF($U$20&lt;0%,0,SUM(H97)*(1-K86)*1)</f>
        <v>0</v>
      </c>
      <c r="K97" s="231">
        <f t="shared" ref="K97:K99" si="25">IF(J97=0,0,C97*J97)</f>
        <v>0</v>
      </c>
      <c r="L97" s="244">
        <f>IF($Z$17=0,0,SUM(J97)*(1-M86)*1)</f>
        <v>0</v>
      </c>
      <c r="M97" s="242">
        <f>C97*L97</f>
        <v>0</v>
      </c>
      <c r="N97" s="336"/>
      <c r="O97" s="299"/>
      <c r="P97" s="299"/>
      <c r="Q97" s="299"/>
      <c r="R97" s="299"/>
      <c r="S97" s="299"/>
      <c r="T97" s="299"/>
      <c r="U97" s="299"/>
      <c r="V97" s="498"/>
      <c r="W97" s="498"/>
      <c r="X97" s="498"/>
      <c r="Y97" s="498"/>
      <c r="Z97" s="498"/>
      <c r="AA97" s="498"/>
    </row>
    <row r="98" spans="1:27" ht="15" customHeight="1" x14ac:dyDescent="0.2">
      <c r="A98" s="286"/>
      <c r="B98" s="240" t="s">
        <v>98</v>
      </c>
      <c r="C98" s="237">
        <f>INTAKE!K$26</f>
        <v>0</v>
      </c>
      <c r="D98" s="236">
        <f>INTAKE!K25</f>
        <v>0</v>
      </c>
      <c r="E98" s="234">
        <f t="shared" si="23"/>
        <v>0</v>
      </c>
      <c r="F98" s="233">
        <f>SUM(1+G87/1)*D98</f>
        <v>0</v>
      </c>
      <c r="G98" s="232">
        <f t="shared" si="24"/>
        <v>0</v>
      </c>
      <c r="H98" s="243">
        <f>1.8*H96</f>
        <v>0</v>
      </c>
      <c r="I98" s="242">
        <f>C98*H98</f>
        <v>0</v>
      </c>
      <c r="J98" s="230">
        <f>IF($U$20&lt;0%,0,SUM(H98)*(1-K86)*1)</f>
        <v>0</v>
      </c>
      <c r="K98" s="231">
        <f t="shared" si="25"/>
        <v>0</v>
      </c>
      <c r="L98" s="244">
        <f>IF($Z$17=0,0,SUM(J98)*(1-M86)*1)</f>
        <v>0</v>
      </c>
      <c r="M98" s="242">
        <f>C98*L98</f>
        <v>0</v>
      </c>
      <c r="N98" s="336"/>
      <c r="O98" s="299"/>
      <c r="P98" s="299"/>
      <c r="Q98" s="299"/>
      <c r="R98" s="299"/>
      <c r="S98" s="299"/>
      <c r="T98" s="299"/>
      <c r="U98" s="299"/>
      <c r="V98" s="498"/>
      <c r="W98" s="498"/>
      <c r="X98" s="498"/>
      <c r="Y98" s="498"/>
      <c r="Z98" s="498"/>
      <c r="AA98" s="498"/>
    </row>
    <row r="99" spans="1:27" ht="15" customHeight="1" x14ac:dyDescent="0.2">
      <c r="A99" s="286"/>
      <c r="B99" s="240" t="s">
        <v>100</v>
      </c>
      <c r="C99" s="237">
        <f>INTAKE!L$26</f>
        <v>0</v>
      </c>
      <c r="D99" s="236">
        <f>INTAKE!L25</f>
        <v>0</v>
      </c>
      <c r="E99" s="234">
        <f t="shared" si="23"/>
        <v>0</v>
      </c>
      <c r="F99" s="361">
        <f>SUM(1+G87/1)*D99</f>
        <v>0</v>
      </c>
      <c r="G99" s="232">
        <f t="shared" si="24"/>
        <v>0</v>
      </c>
      <c r="H99" s="243">
        <f>3.1*H96</f>
        <v>0</v>
      </c>
      <c r="I99" s="242">
        <f>C99*H99</f>
        <v>0</v>
      </c>
      <c r="J99" s="230">
        <f>IF($U$20&lt;0%,0,SUM(H99)*(1-K86)*1)</f>
        <v>0</v>
      </c>
      <c r="K99" s="231">
        <f t="shared" si="25"/>
        <v>0</v>
      </c>
      <c r="L99" s="244">
        <f>IF($Z$17=0,0,SUM(J99)*(1-M86)*1)</f>
        <v>0</v>
      </c>
      <c r="M99" s="242">
        <f>C99*L99</f>
        <v>0</v>
      </c>
      <c r="N99" s="336"/>
      <c r="O99" s="299"/>
      <c r="P99" s="299"/>
      <c r="Q99" s="299"/>
      <c r="R99" s="299"/>
      <c r="S99" s="299"/>
      <c r="T99" s="299"/>
      <c r="U99" s="299"/>
      <c r="V99" s="498"/>
      <c r="W99" s="498"/>
      <c r="X99" s="498"/>
      <c r="Y99" s="498"/>
      <c r="Z99" s="498"/>
      <c r="AA99" s="498"/>
    </row>
    <row r="100" spans="1:27" ht="15" customHeight="1" x14ac:dyDescent="0.2">
      <c r="A100" s="286"/>
      <c r="B100" s="924"/>
      <c r="C100" s="925"/>
      <c r="D100" s="358" t="s">
        <v>1734</v>
      </c>
      <c r="E100" s="356">
        <f>SUM(E96:E99)</f>
        <v>0</v>
      </c>
      <c r="F100" s="362" t="s">
        <v>1734</v>
      </c>
      <c r="G100" s="360">
        <f>SUM(G96:G99)</f>
        <v>0</v>
      </c>
      <c r="H100" s="346" t="s">
        <v>1734</v>
      </c>
      <c r="I100" s="347">
        <f>SUM(I96:I99)</f>
        <v>0</v>
      </c>
      <c r="J100" s="350" t="s">
        <v>1734</v>
      </c>
      <c r="K100" s="351">
        <f>IF($M$6&lt;0%=0,0,SUM(K96:K99))</f>
        <v>0</v>
      </c>
      <c r="L100" s="352" t="s">
        <v>1734</v>
      </c>
      <c r="M100" s="347">
        <f>SUM(M96:M99)</f>
        <v>0</v>
      </c>
      <c r="N100" s="336"/>
      <c r="O100" s="299"/>
      <c r="P100" s="299"/>
      <c r="Q100" s="299"/>
      <c r="R100" s="299"/>
      <c r="S100" s="299"/>
      <c r="T100" s="299"/>
      <c r="U100" s="299"/>
      <c r="V100" s="498"/>
      <c r="W100" s="498"/>
      <c r="X100" s="498"/>
      <c r="Y100" s="498"/>
      <c r="Z100" s="498"/>
      <c r="AA100" s="498"/>
    </row>
    <row r="101" spans="1:27" ht="15" customHeight="1" x14ac:dyDescent="0.2">
      <c r="A101" s="286"/>
      <c r="B101" s="926"/>
      <c r="C101" s="927"/>
      <c r="D101" s="358" t="s">
        <v>1767</v>
      </c>
      <c r="E101" s="359">
        <f>E100*12</f>
        <v>0</v>
      </c>
      <c r="F101" s="362" t="s">
        <v>1767</v>
      </c>
      <c r="G101" s="363">
        <f>G100*12</f>
        <v>0</v>
      </c>
      <c r="H101" s="348" t="s">
        <v>1767</v>
      </c>
      <c r="I101" s="349">
        <f>I100*12</f>
        <v>0</v>
      </c>
      <c r="J101" s="353" t="s">
        <v>1767</v>
      </c>
      <c r="K101" s="354">
        <f>K100*12</f>
        <v>0</v>
      </c>
      <c r="L101" s="355" t="s">
        <v>1767</v>
      </c>
      <c r="M101" s="349">
        <f>M100*12</f>
        <v>0</v>
      </c>
      <c r="N101" s="336"/>
      <c r="O101" s="299"/>
      <c r="P101" s="299"/>
      <c r="Q101" s="299"/>
      <c r="R101" s="299"/>
      <c r="S101" s="299"/>
      <c r="T101" s="299"/>
      <c r="U101" s="299"/>
      <c r="V101" s="498"/>
      <c r="W101" s="498"/>
      <c r="X101" s="498"/>
      <c r="Y101" s="498"/>
      <c r="Z101" s="498"/>
      <c r="AA101" s="498"/>
    </row>
    <row r="102" spans="1:27" ht="15" customHeight="1" thickBot="1" x14ac:dyDescent="0.25">
      <c r="A102" s="286"/>
      <c r="B102" s="928"/>
      <c r="C102" s="929"/>
      <c r="D102" s="930"/>
      <c r="E102" s="931"/>
      <c r="F102" s="932"/>
      <c r="G102" s="933"/>
      <c r="H102" s="255" t="s">
        <v>1731</v>
      </c>
      <c r="I102" s="256" t="str">
        <f>IF(I100&lt;1,"",(E101-I101)/E101*-1)</f>
        <v/>
      </c>
      <c r="J102" s="257" t="s">
        <v>1731</v>
      </c>
      <c r="K102" s="258">
        <f>IF(K101=0,0,(E101-K101)/E101*-1)</f>
        <v>0</v>
      </c>
      <c r="L102" s="259" t="s">
        <v>1731</v>
      </c>
      <c r="M102" s="256">
        <f>IF(I100=0,0,(E101-M101)/E101*-1)</f>
        <v>0</v>
      </c>
      <c r="N102" s="336"/>
      <c r="O102" s="299"/>
      <c r="P102" s="299"/>
      <c r="Q102" s="299"/>
      <c r="R102" s="299"/>
      <c r="S102" s="299"/>
      <c r="T102" s="299"/>
      <c r="U102" s="299"/>
      <c r="V102" s="498"/>
      <c r="W102" s="498"/>
      <c r="X102" s="498"/>
      <c r="Y102" s="498"/>
      <c r="Z102" s="498"/>
      <c r="AA102" s="498"/>
    </row>
    <row r="103" spans="1:27" ht="15" customHeight="1" thickTop="1" thickBot="1" x14ac:dyDescent="0.25">
      <c r="A103" s="286"/>
      <c r="B103" s="974" t="s">
        <v>118</v>
      </c>
      <c r="C103" s="975"/>
      <c r="D103" s="980" t="s">
        <v>68</v>
      </c>
      <c r="E103" s="981"/>
      <c r="F103" s="981"/>
      <c r="G103" s="982"/>
      <c r="H103" s="959" t="s">
        <v>69</v>
      </c>
      <c r="I103" s="960"/>
      <c r="J103" s="960"/>
      <c r="K103" s="960"/>
      <c r="L103" s="960"/>
      <c r="M103" s="961"/>
      <c r="N103" s="336"/>
      <c r="O103" s="299"/>
      <c r="P103" s="299"/>
      <c r="Q103" s="299"/>
      <c r="R103" s="299"/>
      <c r="S103" s="299"/>
      <c r="T103" s="299"/>
      <c r="U103" s="299"/>
      <c r="V103" s="498"/>
      <c r="W103" s="498"/>
      <c r="X103" s="498"/>
      <c r="Y103" s="498"/>
      <c r="Z103" s="498"/>
      <c r="AA103" s="498"/>
    </row>
    <row r="104" spans="1:27" ht="15" customHeight="1" thickTop="1" thickBot="1" x14ac:dyDescent="0.25">
      <c r="A104" s="286"/>
      <c r="B104" s="976"/>
      <c r="C104" s="977"/>
      <c r="D104" s="962" t="s">
        <v>74</v>
      </c>
      <c r="E104" s="963"/>
      <c r="F104" s="966" t="s">
        <v>75</v>
      </c>
      <c r="G104" s="967"/>
      <c r="H104" s="970" t="s">
        <v>76</v>
      </c>
      <c r="I104" s="971"/>
      <c r="J104" s="972" t="s">
        <v>1735</v>
      </c>
      <c r="K104" s="973"/>
      <c r="L104" s="970" t="s">
        <v>1736</v>
      </c>
      <c r="M104" s="971"/>
      <c r="N104" s="336"/>
      <c r="O104" s="299"/>
      <c r="P104" s="299"/>
      <c r="Q104" s="299"/>
      <c r="R104" s="299"/>
      <c r="S104" s="299"/>
      <c r="T104" s="299"/>
      <c r="U104" s="299"/>
      <c r="V104" s="498"/>
      <c r="W104" s="498"/>
      <c r="X104" s="498"/>
      <c r="Y104" s="498"/>
      <c r="Z104" s="498"/>
      <c r="AA104" s="498"/>
    </row>
    <row r="105" spans="1:27" ht="15" customHeight="1" thickTop="1" thickBot="1" x14ac:dyDescent="0.25">
      <c r="A105" s="286"/>
      <c r="B105" s="976"/>
      <c r="C105" s="977"/>
      <c r="D105" s="964"/>
      <c r="E105" s="965"/>
      <c r="F105" s="968"/>
      <c r="G105" s="969"/>
      <c r="H105" s="343" t="s">
        <v>1732</v>
      </c>
      <c r="I105" s="341"/>
      <c r="J105" s="345" t="s">
        <v>1733</v>
      </c>
      <c r="K105" s="577">
        <f>IF(E106=0,0,VLOOKUP(E106,RBRATES,2,0))</f>
        <v>0</v>
      </c>
      <c r="L105" s="343" t="s">
        <v>80</v>
      </c>
      <c r="M105" s="510">
        <f>$Z$18</f>
        <v>0</v>
      </c>
      <c r="N105" s="336"/>
      <c r="O105" s="299"/>
      <c r="P105" s="299"/>
      <c r="Q105" s="299"/>
      <c r="R105" s="299"/>
      <c r="S105" s="299"/>
      <c r="T105" s="299"/>
      <c r="U105" s="299"/>
      <c r="V105" s="498"/>
      <c r="W105" s="498"/>
      <c r="X105" s="498"/>
      <c r="Y105" s="498"/>
      <c r="Z105" s="498"/>
      <c r="AA105" s="498"/>
    </row>
    <row r="106" spans="1:27" ht="15" customHeight="1" thickTop="1" thickBot="1" x14ac:dyDescent="0.25">
      <c r="A106" s="286"/>
      <c r="B106" s="978"/>
      <c r="C106" s="979"/>
      <c r="D106" s="565" t="s">
        <v>1850</v>
      </c>
      <c r="E106" s="562">
        <f>INTAKE!C27</f>
        <v>0</v>
      </c>
      <c r="F106" s="342" t="s">
        <v>78</v>
      </c>
      <c r="G106" s="564" t="b">
        <f>IF(E106="HMO",$F$5,IF(E106="PPO",$H$5,IF(E106="CDHP",$J$5)))</f>
        <v>0</v>
      </c>
      <c r="H106" s="344" t="s">
        <v>82</v>
      </c>
      <c r="I106" s="341"/>
      <c r="J106" s="947"/>
      <c r="K106" s="948"/>
      <c r="L106" s="949"/>
      <c r="M106" s="950"/>
      <c r="N106" s="336"/>
      <c r="O106" s="299"/>
      <c r="P106" s="299"/>
      <c r="Q106" s="299"/>
      <c r="R106" s="299"/>
      <c r="S106" s="299"/>
      <c r="T106" s="299"/>
      <c r="U106" s="299"/>
      <c r="V106" s="498"/>
      <c r="W106" s="498"/>
      <c r="X106" s="498"/>
      <c r="Y106" s="498"/>
      <c r="Z106" s="498"/>
      <c r="AA106" s="498"/>
    </row>
    <row r="107" spans="1:27" ht="15" customHeight="1" thickTop="1" x14ac:dyDescent="0.2">
      <c r="A107" s="286"/>
      <c r="B107" s="951" t="s">
        <v>32</v>
      </c>
      <c r="C107" s="952"/>
      <c r="D107" s="953">
        <f>INTAKE!D$27</f>
        <v>0</v>
      </c>
      <c r="E107" s="954"/>
      <c r="F107" s="955"/>
      <c r="G107" s="956"/>
      <c r="H107" s="917" t="e">
        <f>VLOOKUP(I105,[3]PLANS!$A$1:$H$107,2,FALSE)</f>
        <v>#N/A</v>
      </c>
      <c r="I107" s="958"/>
      <c r="J107" s="919" t="e">
        <f t="shared" ref="J107:J113" si="26">H107</f>
        <v>#N/A</v>
      </c>
      <c r="K107" s="920"/>
      <c r="L107" s="921" t="e">
        <f t="shared" ref="L107:L113" si="27">H107</f>
        <v>#N/A</v>
      </c>
      <c r="M107" s="918"/>
      <c r="N107" s="336"/>
      <c r="O107" s="299"/>
      <c r="P107" s="299"/>
      <c r="Q107" s="299"/>
      <c r="R107" s="299"/>
      <c r="S107" s="299"/>
      <c r="T107" s="299"/>
      <c r="U107" s="299"/>
      <c r="V107" s="498"/>
      <c r="W107" s="498"/>
      <c r="X107" s="498"/>
      <c r="Y107" s="498"/>
      <c r="Z107" s="498"/>
      <c r="AA107" s="498"/>
    </row>
    <row r="108" spans="1:27" ht="15" customHeight="1" x14ac:dyDescent="0.2">
      <c r="A108" s="286"/>
      <c r="B108" s="938" t="s">
        <v>36</v>
      </c>
      <c r="C108" s="939"/>
      <c r="D108" s="936">
        <f>INTAKE!N$27</f>
        <v>0</v>
      </c>
      <c r="E108" s="937"/>
      <c r="F108" s="955"/>
      <c r="G108" s="957"/>
      <c r="H108" s="917" t="e">
        <f>VLOOKUP(I105,[3]PLANS!$A$1:$H$107,3,FALSE)</f>
        <v>#N/A</v>
      </c>
      <c r="I108" s="918"/>
      <c r="J108" s="919" t="e">
        <f t="shared" si="26"/>
        <v>#N/A</v>
      </c>
      <c r="K108" s="920"/>
      <c r="L108" s="921" t="e">
        <f t="shared" si="27"/>
        <v>#N/A</v>
      </c>
      <c r="M108" s="918"/>
      <c r="N108" s="336"/>
      <c r="O108" s="299"/>
      <c r="P108" s="299"/>
      <c r="Q108" s="299"/>
      <c r="R108" s="299"/>
      <c r="S108" s="299"/>
      <c r="T108" s="299"/>
      <c r="U108" s="299"/>
      <c r="V108" s="498"/>
      <c r="W108" s="498"/>
      <c r="X108" s="498"/>
      <c r="Y108" s="498"/>
      <c r="Z108" s="498"/>
      <c r="AA108" s="498"/>
    </row>
    <row r="109" spans="1:27" ht="15" customHeight="1" x14ac:dyDescent="0.2">
      <c r="A109" s="286"/>
      <c r="B109" s="945" t="s">
        <v>37</v>
      </c>
      <c r="C109" s="946"/>
      <c r="D109" s="936">
        <f>INTAKE!O$27</f>
        <v>0</v>
      </c>
      <c r="E109" s="937"/>
      <c r="F109" s="955"/>
      <c r="G109" s="957"/>
      <c r="H109" s="917" t="e">
        <f>VLOOKUP(I105,[3]PLANS!$A$1:$H$107,4,FALSE)</f>
        <v>#N/A</v>
      </c>
      <c r="I109" s="918"/>
      <c r="J109" s="919" t="e">
        <f t="shared" si="26"/>
        <v>#N/A</v>
      </c>
      <c r="K109" s="920"/>
      <c r="L109" s="921" t="e">
        <f t="shared" si="27"/>
        <v>#N/A</v>
      </c>
      <c r="M109" s="918"/>
      <c r="N109" s="336"/>
      <c r="O109" s="299"/>
      <c r="P109" s="299"/>
      <c r="Q109" s="299"/>
      <c r="R109" s="299"/>
      <c r="S109" s="299"/>
      <c r="T109" s="299"/>
      <c r="U109" s="299"/>
      <c r="V109" s="498"/>
      <c r="W109" s="498"/>
      <c r="X109" s="498"/>
      <c r="Y109" s="498"/>
      <c r="Z109" s="498"/>
      <c r="AA109" s="498"/>
    </row>
    <row r="110" spans="1:27" ht="15" customHeight="1" x14ac:dyDescent="0.2">
      <c r="A110" s="286"/>
      <c r="B110" s="934" t="s">
        <v>38</v>
      </c>
      <c r="C110" s="935"/>
      <c r="D110" s="915">
        <f>INTAKE!P$27</f>
        <v>0</v>
      </c>
      <c r="E110" s="916"/>
      <c r="F110" s="955"/>
      <c r="G110" s="957"/>
      <c r="H110" s="917" t="e">
        <f>VLOOKUP(I105,[3]PLANS!$A$1:$H$107,5,FALSE)</f>
        <v>#N/A</v>
      </c>
      <c r="I110" s="918"/>
      <c r="J110" s="919" t="e">
        <f t="shared" si="26"/>
        <v>#N/A</v>
      </c>
      <c r="K110" s="920"/>
      <c r="L110" s="921" t="e">
        <f t="shared" si="27"/>
        <v>#N/A</v>
      </c>
      <c r="M110" s="918"/>
      <c r="N110" s="336"/>
      <c r="O110" s="299"/>
      <c r="P110" s="299"/>
      <c r="Q110" s="299"/>
      <c r="R110" s="299"/>
      <c r="S110" s="299"/>
      <c r="T110" s="299"/>
      <c r="U110" s="299"/>
      <c r="V110" s="498"/>
      <c r="W110" s="498"/>
      <c r="X110" s="498"/>
      <c r="Y110" s="498"/>
      <c r="Z110" s="498"/>
      <c r="AA110" s="498"/>
    </row>
    <row r="111" spans="1:27" ht="15" customHeight="1" x14ac:dyDescent="0.2">
      <c r="A111" s="286"/>
      <c r="B111" s="934" t="s">
        <v>39</v>
      </c>
      <c r="C111" s="935"/>
      <c r="D111" s="915">
        <f>INTAKE!Q$27</f>
        <v>0</v>
      </c>
      <c r="E111" s="916"/>
      <c r="F111" s="955"/>
      <c r="G111" s="957"/>
      <c r="H111" s="917" t="e">
        <f>VLOOKUP(I105,[3]PLANS!$A$1:$H$107,6,FALSE)</f>
        <v>#N/A</v>
      </c>
      <c r="I111" s="918"/>
      <c r="J111" s="919" t="e">
        <f t="shared" si="26"/>
        <v>#N/A</v>
      </c>
      <c r="K111" s="920"/>
      <c r="L111" s="921" t="e">
        <f t="shared" si="27"/>
        <v>#N/A</v>
      </c>
      <c r="M111" s="918"/>
      <c r="N111" s="336"/>
      <c r="O111" s="299"/>
      <c r="P111" s="299"/>
      <c r="Q111" s="299"/>
      <c r="R111" s="299"/>
      <c r="S111" s="299"/>
      <c r="T111" s="299"/>
      <c r="U111" s="299"/>
      <c r="V111" s="498"/>
      <c r="W111" s="498"/>
      <c r="X111" s="498"/>
      <c r="Y111" s="498"/>
      <c r="Z111" s="498"/>
      <c r="AA111" s="498"/>
    </row>
    <row r="112" spans="1:27" ht="15" customHeight="1" x14ac:dyDescent="0.2">
      <c r="A112" s="286"/>
      <c r="B112" s="934" t="s">
        <v>90</v>
      </c>
      <c r="C112" s="935"/>
      <c r="D112" s="936">
        <f>INTAKE!R$27</f>
        <v>0</v>
      </c>
      <c r="E112" s="937"/>
      <c r="F112" s="955"/>
      <c r="G112" s="957"/>
      <c r="H112" s="917" t="e">
        <f>VLOOKUP(I105,[3]PLANS!$A$1:$H$107,7,FALSE)</f>
        <v>#N/A</v>
      </c>
      <c r="I112" s="918"/>
      <c r="J112" s="919" t="e">
        <f t="shared" si="26"/>
        <v>#N/A</v>
      </c>
      <c r="K112" s="920"/>
      <c r="L112" s="921" t="e">
        <f t="shared" si="27"/>
        <v>#N/A</v>
      </c>
      <c r="M112" s="918"/>
      <c r="N112" s="336"/>
      <c r="O112" s="299"/>
      <c r="P112" s="299"/>
      <c r="Q112" s="299"/>
      <c r="R112" s="299"/>
      <c r="S112" s="299"/>
      <c r="T112" s="299"/>
      <c r="U112" s="299"/>
      <c r="V112" s="498"/>
      <c r="W112" s="498"/>
      <c r="X112" s="498"/>
      <c r="Y112" s="498"/>
      <c r="Z112" s="498"/>
      <c r="AA112" s="498"/>
    </row>
    <row r="113" spans="1:27" ht="15" customHeight="1" x14ac:dyDescent="0.2">
      <c r="A113" s="286"/>
      <c r="B113" s="938" t="s">
        <v>92</v>
      </c>
      <c r="C113" s="939"/>
      <c r="D113" s="936">
        <f>INTAKE!S$27</f>
        <v>0</v>
      </c>
      <c r="E113" s="937"/>
      <c r="F113" s="955"/>
      <c r="G113" s="957"/>
      <c r="H113" s="940" t="e">
        <f>VLOOKUP(I105,[3]PLANS!$A$1:$H$107,8,FALSE)</f>
        <v>#N/A</v>
      </c>
      <c r="I113" s="941"/>
      <c r="J113" s="942" t="e">
        <f t="shared" si="26"/>
        <v>#N/A</v>
      </c>
      <c r="K113" s="943"/>
      <c r="L113" s="944" t="e">
        <f t="shared" si="27"/>
        <v>#N/A</v>
      </c>
      <c r="M113" s="941"/>
      <c r="N113" s="336"/>
      <c r="O113" s="299"/>
      <c r="P113" s="299"/>
      <c r="Q113" s="299"/>
      <c r="R113" s="299"/>
      <c r="S113" s="299"/>
      <c r="T113" s="299"/>
      <c r="U113" s="299"/>
      <c r="V113" s="498"/>
      <c r="W113" s="498"/>
      <c r="X113" s="498"/>
      <c r="Y113" s="498"/>
      <c r="Z113" s="498"/>
      <c r="AA113" s="498"/>
    </row>
    <row r="114" spans="1:27" ht="15" customHeight="1" thickBot="1" x14ac:dyDescent="0.25">
      <c r="A114" s="286"/>
      <c r="B114" s="922" t="s">
        <v>93</v>
      </c>
      <c r="C114" s="923"/>
      <c r="D114" s="245" t="s">
        <v>29</v>
      </c>
      <c r="E114" s="246" t="s">
        <v>94</v>
      </c>
      <c r="F114" s="247" t="s">
        <v>29</v>
      </c>
      <c r="G114" s="248" t="s">
        <v>94</v>
      </c>
      <c r="H114" s="366" t="s">
        <v>29</v>
      </c>
      <c r="I114" s="249" t="s">
        <v>94</v>
      </c>
      <c r="J114" s="250" t="s">
        <v>29</v>
      </c>
      <c r="K114" s="251" t="s">
        <v>94</v>
      </c>
      <c r="L114" s="252" t="s">
        <v>29</v>
      </c>
      <c r="M114" s="249" t="s">
        <v>94</v>
      </c>
      <c r="N114" s="336"/>
      <c r="O114" s="299"/>
      <c r="P114" s="299"/>
      <c r="Q114" s="299"/>
      <c r="R114" s="299"/>
      <c r="S114" s="299"/>
      <c r="T114" s="299"/>
      <c r="U114" s="299"/>
      <c r="V114" s="498"/>
      <c r="W114" s="498"/>
      <c r="X114" s="498"/>
      <c r="Y114" s="498"/>
      <c r="Z114" s="498"/>
      <c r="AA114" s="498"/>
    </row>
    <row r="115" spans="1:27" ht="15" customHeight="1" thickBot="1" x14ac:dyDescent="0.25">
      <c r="A115" s="286"/>
      <c r="B115" s="240" t="s">
        <v>95</v>
      </c>
      <c r="C115" s="237">
        <f>INTAKE!I$28</f>
        <v>0</v>
      </c>
      <c r="D115" s="236">
        <f>INTAKE!I27</f>
        <v>0</v>
      </c>
      <c r="E115" s="234">
        <f>C115*D115</f>
        <v>0</v>
      </c>
      <c r="F115" s="233">
        <f>SUM(1+G106/1)*D115</f>
        <v>0</v>
      </c>
      <c r="G115" s="364">
        <f>C115*F115</f>
        <v>0</v>
      </c>
      <c r="H115" s="368">
        <v>0</v>
      </c>
      <c r="I115" s="365">
        <f>C115*H115</f>
        <v>0</v>
      </c>
      <c r="J115" s="230">
        <f>IF($U$20&lt;0%,0,SUM(H115)*(1-K105)*1)</f>
        <v>0</v>
      </c>
      <c r="K115" s="231">
        <f>IF(J115=0,0,C115*J115)</f>
        <v>0</v>
      </c>
      <c r="L115" s="244">
        <f>IF($Z$17=0,0,SUM(J115)*(1-M105)*1)</f>
        <v>0</v>
      </c>
      <c r="M115" s="242">
        <f>C115*L115</f>
        <v>0</v>
      </c>
      <c r="N115" s="336"/>
      <c r="O115" s="299"/>
      <c r="P115" s="299"/>
      <c r="Q115" s="299"/>
      <c r="R115" s="299"/>
      <c r="S115" s="299"/>
      <c r="T115" s="299"/>
      <c r="U115" s="299"/>
      <c r="V115" s="498"/>
      <c r="W115" s="498"/>
      <c r="X115" s="498"/>
      <c r="Y115" s="498"/>
      <c r="Z115" s="498"/>
      <c r="AA115" s="498"/>
    </row>
    <row r="116" spans="1:27" ht="15" customHeight="1" x14ac:dyDescent="0.2">
      <c r="A116" s="286"/>
      <c r="B116" s="240" t="s">
        <v>96</v>
      </c>
      <c r="C116" s="237">
        <f>INTAKE!J$28</f>
        <v>0</v>
      </c>
      <c r="D116" s="236">
        <f>INTAKE!J27</f>
        <v>0</v>
      </c>
      <c r="E116" s="234">
        <f t="shared" ref="E116:E118" si="28">C116*D116</f>
        <v>0</v>
      </c>
      <c r="F116" s="233">
        <f>SUM(1+G106/1)*D116</f>
        <v>0</v>
      </c>
      <c r="G116" s="232">
        <f t="shared" ref="G116:G118" si="29">C116*F116</f>
        <v>0</v>
      </c>
      <c r="H116" s="367">
        <f>2.2*H115</f>
        <v>0</v>
      </c>
      <c r="I116" s="242">
        <f>C116*H116</f>
        <v>0</v>
      </c>
      <c r="J116" s="230">
        <f>IF($U$20&lt;0%,0,SUM(H116)*(1-K105)*1)</f>
        <v>0</v>
      </c>
      <c r="K116" s="231">
        <f t="shared" ref="K116:K118" si="30">IF(J116=0,0,C116*J116)</f>
        <v>0</v>
      </c>
      <c r="L116" s="244">
        <f>IF($Z$17=0,0,SUM(J116)*(1-M105)*1)</f>
        <v>0</v>
      </c>
      <c r="M116" s="242">
        <f>C116*L116</f>
        <v>0</v>
      </c>
      <c r="N116" s="336"/>
      <c r="O116" s="299"/>
      <c r="P116" s="299"/>
      <c r="Q116" s="299"/>
      <c r="R116" s="299"/>
      <c r="S116" s="299"/>
      <c r="T116" s="299"/>
      <c r="U116" s="299"/>
      <c r="V116" s="498"/>
      <c r="W116" s="498"/>
      <c r="X116" s="498"/>
      <c r="Y116" s="498"/>
      <c r="Z116" s="498"/>
      <c r="AA116" s="498"/>
    </row>
    <row r="117" spans="1:27" ht="15" customHeight="1" x14ac:dyDescent="0.2">
      <c r="A117" s="286"/>
      <c r="B117" s="240" t="s">
        <v>98</v>
      </c>
      <c r="C117" s="237">
        <f>INTAKE!K$28</f>
        <v>0</v>
      </c>
      <c r="D117" s="236">
        <f>INTAKE!K27</f>
        <v>0</v>
      </c>
      <c r="E117" s="234">
        <f t="shared" si="28"/>
        <v>0</v>
      </c>
      <c r="F117" s="233">
        <f>SUM(1+G106/1)*D117</f>
        <v>0</v>
      </c>
      <c r="G117" s="232">
        <f t="shared" si="29"/>
        <v>0</v>
      </c>
      <c r="H117" s="243">
        <f>1.8*H115</f>
        <v>0</v>
      </c>
      <c r="I117" s="242">
        <f>C117*H117</f>
        <v>0</v>
      </c>
      <c r="J117" s="230">
        <f>IF($U$20&lt;0%,0,SUM(H117)*(1-K105)*1)</f>
        <v>0</v>
      </c>
      <c r="K117" s="231">
        <f t="shared" si="30"/>
        <v>0</v>
      </c>
      <c r="L117" s="244">
        <f>IF($Z$17=0,0,SUM(J117)*(1-M105)*1)</f>
        <v>0</v>
      </c>
      <c r="M117" s="242">
        <f>C117*L117</f>
        <v>0</v>
      </c>
      <c r="N117" s="336"/>
      <c r="O117" s="299"/>
      <c r="P117" s="299"/>
      <c r="Q117" s="299"/>
      <c r="R117" s="299"/>
      <c r="S117" s="299"/>
      <c r="T117" s="299"/>
      <c r="U117" s="299"/>
      <c r="V117" s="498"/>
      <c r="W117" s="498"/>
      <c r="X117" s="498"/>
      <c r="Y117" s="498"/>
      <c r="Z117" s="498"/>
      <c r="AA117" s="498"/>
    </row>
    <row r="118" spans="1:27" ht="15" customHeight="1" x14ac:dyDescent="0.2">
      <c r="A118" s="286"/>
      <c r="B118" s="240" t="s">
        <v>100</v>
      </c>
      <c r="C118" s="237">
        <f>INTAKE!L$28</f>
        <v>0</v>
      </c>
      <c r="D118" s="236">
        <f>INTAKE!L27</f>
        <v>0</v>
      </c>
      <c r="E118" s="234">
        <f t="shared" si="28"/>
        <v>0</v>
      </c>
      <c r="F118" s="361">
        <f>SUM(1+G106/1)*D118</f>
        <v>0</v>
      </c>
      <c r="G118" s="232">
        <f t="shared" si="29"/>
        <v>0</v>
      </c>
      <c r="H118" s="243">
        <f>3.1*H115</f>
        <v>0</v>
      </c>
      <c r="I118" s="242">
        <f>C118*H118</f>
        <v>0</v>
      </c>
      <c r="J118" s="230">
        <f>IF($U$20&lt;0%,0,SUM(H118)*(1-K105)*1)</f>
        <v>0</v>
      </c>
      <c r="K118" s="231">
        <f t="shared" si="30"/>
        <v>0</v>
      </c>
      <c r="L118" s="244">
        <f>IF($Z$17=0,0,SUM(J118)*(1-M105)*1)</f>
        <v>0</v>
      </c>
      <c r="M118" s="242">
        <f>C118*L118</f>
        <v>0</v>
      </c>
      <c r="N118" s="336"/>
      <c r="O118" s="299"/>
      <c r="P118" s="299"/>
      <c r="Q118" s="299"/>
      <c r="R118" s="299"/>
      <c r="S118" s="299"/>
      <c r="T118" s="299"/>
      <c r="U118" s="299"/>
      <c r="V118" s="498"/>
      <c r="W118" s="498"/>
      <c r="X118" s="498"/>
      <c r="Y118" s="498"/>
      <c r="Z118" s="498"/>
      <c r="AA118" s="498"/>
    </row>
    <row r="119" spans="1:27" ht="15" customHeight="1" x14ac:dyDescent="0.2">
      <c r="A119" s="286"/>
      <c r="B119" s="924"/>
      <c r="C119" s="925"/>
      <c r="D119" s="358" t="s">
        <v>1734</v>
      </c>
      <c r="E119" s="356">
        <f>SUM(E115:E118)</f>
        <v>0</v>
      </c>
      <c r="F119" s="362" t="s">
        <v>1734</v>
      </c>
      <c r="G119" s="360">
        <f>SUM(G115:G118)</f>
        <v>0</v>
      </c>
      <c r="H119" s="346" t="s">
        <v>1734</v>
      </c>
      <c r="I119" s="347">
        <f>SUM(I115:I118)</f>
        <v>0</v>
      </c>
      <c r="J119" s="350" t="s">
        <v>1734</v>
      </c>
      <c r="K119" s="351">
        <f>IF($M$6&lt;0%=0,0,SUM(K115:K118))</f>
        <v>0</v>
      </c>
      <c r="L119" s="352" t="s">
        <v>1734</v>
      </c>
      <c r="M119" s="347">
        <f>SUM(M115:M118)</f>
        <v>0</v>
      </c>
      <c r="N119" s="336"/>
      <c r="O119" s="299"/>
      <c r="P119" s="299"/>
      <c r="Q119" s="299"/>
      <c r="R119" s="299"/>
      <c r="S119" s="299"/>
      <c r="T119" s="299"/>
      <c r="U119" s="299"/>
      <c r="V119" s="498"/>
      <c r="W119" s="498"/>
      <c r="X119" s="498"/>
      <c r="Y119" s="498"/>
      <c r="Z119" s="498"/>
      <c r="AA119" s="498"/>
    </row>
    <row r="120" spans="1:27" ht="15" customHeight="1" x14ac:dyDescent="0.2">
      <c r="A120" s="286"/>
      <c r="B120" s="926"/>
      <c r="C120" s="927"/>
      <c r="D120" s="358" t="s">
        <v>1767</v>
      </c>
      <c r="E120" s="359">
        <f>E119*12</f>
        <v>0</v>
      </c>
      <c r="F120" s="362" t="s">
        <v>1767</v>
      </c>
      <c r="G120" s="363">
        <f>G119*12</f>
        <v>0</v>
      </c>
      <c r="H120" s="348" t="s">
        <v>1767</v>
      </c>
      <c r="I120" s="349">
        <f>I119*12</f>
        <v>0</v>
      </c>
      <c r="J120" s="353" t="s">
        <v>1767</v>
      </c>
      <c r="K120" s="354">
        <f>K119*12</f>
        <v>0</v>
      </c>
      <c r="L120" s="355" t="s">
        <v>1767</v>
      </c>
      <c r="M120" s="349">
        <f>M119*12</f>
        <v>0</v>
      </c>
      <c r="N120" s="336"/>
      <c r="O120" s="299"/>
      <c r="P120" s="299"/>
      <c r="Q120" s="299"/>
      <c r="R120" s="299"/>
      <c r="S120" s="299"/>
      <c r="T120" s="299"/>
      <c r="U120" s="299"/>
      <c r="V120" s="498"/>
      <c r="W120" s="498"/>
      <c r="X120" s="498"/>
      <c r="Y120" s="498"/>
      <c r="Z120" s="498"/>
      <c r="AA120" s="498"/>
    </row>
    <row r="121" spans="1:27" ht="15" customHeight="1" thickBot="1" x14ac:dyDescent="0.25">
      <c r="A121" s="286"/>
      <c r="B121" s="928"/>
      <c r="C121" s="929"/>
      <c r="D121" s="930"/>
      <c r="E121" s="931"/>
      <c r="F121" s="932"/>
      <c r="G121" s="933"/>
      <c r="H121" s="255" t="s">
        <v>1731</v>
      </c>
      <c r="I121" s="256" t="str">
        <f>IF(I119&lt;1,"",(E120-I120)/E120*-1)</f>
        <v/>
      </c>
      <c r="J121" s="257" t="s">
        <v>1731</v>
      </c>
      <c r="K121" s="258">
        <f>IF(K120=0,0,(E120-K120)/E120*-1)</f>
        <v>0</v>
      </c>
      <c r="L121" s="259" t="s">
        <v>1731</v>
      </c>
      <c r="M121" s="256">
        <f>IF(I119=0,0,(E120-M120)/E120*-1)</f>
        <v>0</v>
      </c>
      <c r="N121" s="336"/>
      <c r="O121" s="299"/>
      <c r="P121" s="299"/>
      <c r="Q121" s="299"/>
      <c r="R121" s="299"/>
      <c r="S121" s="299"/>
      <c r="T121" s="299"/>
      <c r="U121" s="299"/>
      <c r="V121" s="498"/>
      <c r="W121" s="498"/>
      <c r="X121" s="498"/>
      <c r="Y121" s="498"/>
      <c r="Z121" s="498"/>
      <c r="AA121" s="498"/>
    </row>
    <row r="122" spans="1:27" ht="15" customHeight="1" thickTop="1" thickBot="1" x14ac:dyDescent="0.25">
      <c r="A122" s="286"/>
      <c r="B122" s="974" t="s">
        <v>119</v>
      </c>
      <c r="C122" s="975"/>
      <c r="D122" s="980" t="s">
        <v>68</v>
      </c>
      <c r="E122" s="981"/>
      <c r="F122" s="981"/>
      <c r="G122" s="982"/>
      <c r="H122" s="959" t="s">
        <v>69</v>
      </c>
      <c r="I122" s="960"/>
      <c r="J122" s="960"/>
      <c r="K122" s="960"/>
      <c r="L122" s="960"/>
      <c r="M122" s="961"/>
      <c r="N122" s="336"/>
      <c r="O122" s="299"/>
      <c r="P122" s="299"/>
      <c r="Q122" s="299"/>
      <c r="R122" s="299"/>
      <c r="S122" s="299"/>
      <c r="T122" s="299"/>
      <c r="U122" s="299"/>
      <c r="V122" s="498"/>
      <c r="W122" s="498"/>
      <c r="X122" s="498"/>
      <c r="Y122" s="498"/>
      <c r="Z122" s="498"/>
      <c r="AA122" s="498"/>
    </row>
    <row r="123" spans="1:27" ht="15" customHeight="1" thickTop="1" thickBot="1" x14ac:dyDescent="0.25">
      <c r="A123" s="286"/>
      <c r="B123" s="976"/>
      <c r="C123" s="977"/>
      <c r="D123" s="962" t="s">
        <v>74</v>
      </c>
      <c r="E123" s="963"/>
      <c r="F123" s="966" t="s">
        <v>75</v>
      </c>
      <c r="G123" s="967"/>
      <c r="H123" s="970" t="s">
        <v>76</v>
      </c>
      <c r="I123" s="971"/>
      <c r="J123" s="972" t="s">
        <v>1735</v>
      </c>
      <c r="K123" s="973"/>
      <c r="L123" s="970" t="s">
        <v>1736</v>
      </c>
      <c r="M123" s="971"/>
      <c r="N123" s="336"/>
      <c r="O123" s="299"/>
      <c r="P123" s="299"/>
      <c r="Q123" s="299"/>
      <c r="R123" s="299"/>
      <c r="S123" s="299"/>
      <c r="T123" s="299"/>
      <c r="U123" s="299"/>
      <c r="V123" s="498"/>
      <c r="W123" s="498"/>
      <c r="X123" s="498"/>
      <c r="Y123" s="498"/>
      <c r="Z123" s="498"/>
      <c r="AA123" s="498"/>
    </row>
    <row r="124" spans="1:27" ht="15" customHeight="1" thickTop="1" thickBot="1" x14ac:dyDescent="0.25">
      <c r="A124" s="286"/>
      <c r="B124" s="976"/>
      <c r="C124" s="977"/>
      <c r="D124" s="964"/>
      <c r="E124" s="965"/>
      <c r="F124" s="968"/>
      <c r="G124" s="969"/>
      <c r="H124" s="343" t="s">
        <v>1732</v>
      </c>
      <c r="I124" s="341"/>
      <c r="J124" s="345" t="s">
        <v>1733</v>
      </c>
      <c r="K124" s="577">
        <f>IF(E125=0,0,VLOOKUP(E125,RBRATES,2,0))</f>
        <v>0</v>
      </c>
      <c r="L124" s="343" t="s">
        <v>80</v>
      </c>
      <c r="M124" s="510">
        <f>$Z$18</f>
        <v>0</v>
      </c>
      <c r="N124" s="336"/>
      <c r="O124" s="299"/>
      <c r="P124" s="299"/>
      <c r="Q124" s="299"/>
      <c r="R124" s="299"/>
      <c r="S124" s="299"/>
      <c r="T124" s="299"/>
      <c r="U124" s="299"/>
      <c r="V124" s="498"/>
      <c r="W124" s="498"/>
      <c r="X124" s="498"/>
      <c r="Y124" s="498"/>
      <c r="Z124" s="498"/>
      <c r="AA124" s="498"/>
    </row>
    <row r="125" spans="1:27" ht="15" customHeight="1" thickTop="1" thickBot="1" x14ac:dyDescent="0.25">
      <c r="A125" s="286"/>
      <c r="B125" s="978"/>
      <c r="C125" s="979"/>
      <c r="D125" s="565" t="s">
        <v>1850</v>
      </c>
      <c r="E125" s="562">
        <f>INTAKE!C29</f>
        <v>0</v>
      </c>
      <c r="F125" s="342" t="s">
        <v>78</v>
      </c>
      <c r="G125" s="564" t="b">
        <f>IF(E125="HMO",$F$5,IF(E125="PPO",$H$5,IF(E125="CDHP",$J$5)))</f>
        <v>0</v>
      </c>
      <c r="H125" s="344" t="s">
        <v>82</v>
      </c>
      <c r="I125" s="341"/>
      <c r="J125" s="947"/>
      <c r="K125" s="948"/>
      <c r="L125" s="949"/>
      <c r="M125" s="950"/>
      <c r="N125" s="336"/>
      <c r="O125" s="299"/>
      <c r="P125" s="299"/>
      <c r="Q125" s="299"/>
      <c r="R125" s="299"/>
      <c r="S125" s="299"/>
      <c r="T125" s="299"/>
      <c r="U125" s="299"/>
      <c r="V125" s="498"/>
      <c r="W125" s="498"/>
      <c r="X125" s="498"/>
      <c r="Y125" s="498"/>
      <c r="Z125" s="498"/>
      <c r="AA125" s="498"/>
    </row>
    <row r="126" spans="1:27" ht="15" customHeight="1" thickTop="1" x14ac:dyDescent="0.2">
      <c r="A126" s="286"/>
      <c r="B126" s="951" t="s">
        <v>32</v>
      </c>
      <c r="C126" s="952"/>
      <c r="D126" s="953">
        <f>INTAKE!D$29</f>
        <v>0</v>
      </c>
      <c r="E126" s="954"/>
      <c r="F126" s="955"/>
      <c r="G126" s="956"/>
      <c r="H126" s="917" t="e">
        <f>VLOOKUP(I124,[3]PLANS!$A$1:$H$107,2,FALSE)</f>
        <v>#N/A</v>
      </c>
      <c r="I126" s="958"/>
      <c r="J126" s="919" t="e">
        <f t="shared" ref="J126:J132" si="31">H126</f>
        <v>#N/A</v>
      </c>
      <c r="K126" s="920"/>
      <c r="L126" s="921" t="e">
        <f t="shared" ref="L126:L132" si="32">H126</f>
        <v>#N/A</v>
      </c>
      <c r="M126" s="918"/>
      <c r="N126" s="336"/>
      <c r="O126" s="299"/>
      <c r="P126" s="299"/>
      <c r="Q126" s="299"/>
      <c r="R126" s="299"/>
      <c r="S126" s="299"/>
      <c r="T126" s="299"/>
      <c r="U126" s="299"/>
      <c r="V126" s="498"/>
      <c r="W126" s="498"/>
      <c r="X126" s="498"/>
      <c r="Y126" s="498"/>
      <c r="Z126" s="498"/>
      <c r="AA126" s="498"/>
    </row>
    <row r="127" spans="1:27" ht="15" customHeight="1" x14ac:dyDescent="0.2">
      <c r="A127" s="286"/>
      <c r="B127" s="938" t="s">
        <v>36</v>
      </c>
      <c r="C127" s="939"/>
      <c r="D127" s="936">
        <f>INTAKE!N$29</f>
        <v>0</v>
      </c>
      <c r="E127" s="937"/>
      <c r="F127" s="955"/>
      <c r="G127" s="957"/>
      <c r="H127" s="917" t="e">
        <f>VLOOKUP(I124,[3]PLANS!$A$1:$H$107,3,FALSE)</f>
        <v>#N/A</v>
      </c>
      <c r="I127" s="918"/>
      <c r="J127" s="919" t="e">
        <f t="shared" si="31"/>
        <v>#N/A</v>
      </c>
      <c r="K127" s="920"/>
      <c r="L127" s="921" t="e">
        <f t="shared" si="32"/>
        <v>#N/A</v>
      </c>
      <c r="M127" s="918"/>
      <c r="N127" s="336"/>
      <c r="O127" s="299"/>
      <c r="P127" s="299"/>
      <c r="Q127" s="299"/>
      <c r="R127" s="299"/>
      <c r="S127" s="299"/>
      <c r="T127" s="299"/>
      <c r="U127" s="299"/>
      <c r="V127" s="498"/>
      <c r="W127" s="498"/>
      <c r="X127" s="498"/>
      <c r="Y127" s="498"/>
      <c r="Z127" s="498"/>
      <c r="AA127" s="498"/>
    </row>
    <row r="128" spans="1:27" ht="15" customHeight="1" x14ac:dyDescent="0.2">
      <c r="A128" s="286"/>
      <c r="B128" s="945" t="s">
        <v>37</v>
      </c>
      <c r="C128" s="946"/>
      <c r="D128" s="936">
        <f>INTAKE!O$29</f>
        <v>0</v>
      </c>
      <c r="E128" s="937"/>
      <c r="F128" s="955"/>
      <c r="G128" s="957"/>
      <c r="H128" s="917" t="e">
        <f>VLOOKUP(I124,[3]PLANS!$A$1:$H$107,4,FALSE)</f>
        <v>#N/A</v>
      </c>
      <c r="I128" s="918"/>
      <c r="J128" s="919" t="e">
        <f t="shared" si="31"/>
        <v>#N/A</v>
      </c>
      <c r="K128" s="920"/>
      <c r="L128" s="921" t="e">
        <f t="shared" si="32"/>
        <v>#N/A</v>
      </c>
      <c r="M128" s="918"/>
      <c r="N128" s="336"/>
      <c r="O128" s="299"/>
      <c r="P128" s="299"/>
      <c r="Q128" s="299"/>
      <c r="R128" s="299"/>
      <c r="S128" s="299"/>
      <c r="T128" s="299"/>
      <c r="U128" s="299"/>
      <c r="V128" s="498"/>
      <c r="W128" s="498"/>
      <c r="X128" s="498"/>
      <c r="Y128" s="498"/>
      <c r="Z128" s="498"/>
      <c r="AA128" s="498"/>
    </row>
    <row r="129" spans="1:27" ht="15" customHeight="1" x14ac:dyDescent="0.2">
      <c r="A129" s="286"/>
      <c r="B129" s="934" t="s">
        <v>38</v>
      </c>
      <c r="C129" s="935"/>
      <c r="D129" s="915">
        <f>INTAKE!P$29</f>
        <v>0</v>
      </c>
      <c r="E129" s="916"/>
      <c r="F129" s="955"/>
      <c r="G129" s="957"/>
      <c r="H129" s="917" t="e">
        <f>VLOOKUP(I124,[3]PLANS!$A$1:$H$107,5,FALSE)</f>
        <v>#N/A</v>
      </c>
      <c r="I129" s="918"/>
      <c r="J129" s="919" t="e">
        <f t="shared" si="31"/>
        <v>#N/A</v>
      </c>
      <c r="K129" s="920"/>
      <c r="L129" s="921" t="e">
        <f t="shared" si="32"/>
        <v>#N/A</v>
      </c>
      <c r="M129" s="918"/>
      <c r="N129" s="336"/>
      <c r="O129" s="299"/>
      <c r="P129" s="299"/>
      <c r="Q129" s="299"/>
      <c r="R129" s="299"/>
      <c r="S129" s="299"/>
      <c r="T129" s="299"/>
      <c r="U129" s="299"/>
      <c r="V129" s="498"/>
      <c r="W129" s="498"/>
      <c r="X129" s="498"/>
      <c r="Y129" s="498"/>
      <c r="Z129" s="498"/>
      <c r="AA129" s="498"/>
    </row>
    <row r="130" spans="1:27" ht="15" customHeight="1" x14ac:dyDescent="0.2">
      <c r="A130" s="286"/>
      <c r="B130" s="934" t="s">
        <v>39</v>
      </c>
      <c r="C130" s="935"/>
      <c r="D130" s="915">
        <f>INTAKE!Q$29</f>
        <v>0</v>
      </c>
      <c r="E130" s="916"/>
      <c r="F130" s="955"/>
      <c r="G130" s="957"/>
      <c r="H130" s="917" t="e">
        <f>VLOOKUP(I124,[3]PLANS!$A$1:$H$107,6,FALSE)</f>
        <v>#N/A</v>
      </c>
      <c r="I130" s="918"/>
      <c r="J130" s="919" t="e">
        <f t="shared" si="31"/>
        <v>#N/A</v>
      </c>
      <c r="K130" s="920"/>
      <c r="L130" s="921" t="e">
        <f t="shared" si="32"/>
        <v>#N/A</v>
      </c>
      <c r="M130" s="918"/>
      <c r="N130" s="336"/>
      <c r="O130" s="299"/>
      <c r="P130" s="299"/>
      <c r="Q130" s="299"/>
      <c r="R130" s="299"/>
      <c r="S130" s="299"/>
      <c r="T130" s="299"/>
      <c r="U130" s="299"/>
      <c r="V130" s="498"/>
      <c r="W130" s="498"/>
      <c r="X130" s="498"/>
      <c r="Y130" s="498"/>
      <c r="Z130" s="498"/>
      <c r="AA130" s="498"/>
    </row>
    <row r="131" spans="1:27" ht="15" customHeight="1" x14ac:dyDescent="0.2">
      <c r="A131" s="286"/>
      <c r="B131" s="934" t="s">
        <v>90</v>
      </c>
      <c r="C131" s="935"/>
      <c r="D131" s="936">
        <f>INTAKE!R$29</f>
        <v>0</v>
      </c>
      <c r="E131" s="937"/>
      <c r="F131" s="955"/>
      <c r="G131" s="957"/>
      <c r="H131" s="917" t="e">
        <f>VLOOKUP(I124,[3]PLANS!$A$1:$H$107,7,FALSE)</f>
        <v>#N/A</v>
      </c>
      <c r="I131" s="918"/>
      <c r="J131" s="919" t="e">
        <f t="shared" si="31"/>
        <v>#N/A</v>
      </c>
      <c r="K131" s="920"/>
      <c r="L131" s="921" t="e">
        <f t="shared" si="32"/>
        <v>#N/A</v>
      </c>
      <c r="M131" s="918"/>
      <c r="N131" s="336"/>
      <c r="O131" s="299"/>
      <c r="P131" s="299"/>
      <c r="Q131" s="299"/>
      <c r="R131" s="299"/>
      <c r="S131" s="299"/>
      <c r="T131" s="299"/>
      <c r="U131" s="299"/>
      <c r="V131" s="498"/>
      <c r="W131" s="498"/>
      <c r="X131" s="498"/>
      <c r="Y131" s="498"/>
      <c r="Z131" s="498"/>
      <c r="AA131" s="498"/>
    </row>
    <row r="132" spans="1:27" ht="15" customHeight="1" x14ac:dyDescent="0.2">
      <c r="A132" s="286"/>
      <c r="B132" s="938" t="s">
        <v>92</v>
      </c>
      <c r="C132" s="939"/>
      <c r="D132" s="936">
        <f>INTAKE!S$29</f>
        <v>0</v>
      </c>
      <c r="E132" s="937"/>
      <c r="F132" s="955"/>
      <c r="G132" s="957"/>
      <c r="H132" s="940" t="e">
        <f>VLOOKUP(I124,[3]PLANS!$A$1:$H$107,8,FALSE)</f>
        <v>#N/A</v>
      </c>
      <c r="I132" s="941"/>
      <c r="J132" s="942" t="e">
        <f t="shared" si="31"/>
        <v>#N/A</v>
      </c>
      <c r="K132" s="943"/>
      <c r="L132" s="944" t="e">
        <f t="shared" si="32"/>
        <v>#N/A</v>
      </c>
      <c r="M132" s="941"/>
      <c r="N132" s="336"/>
      <c r="O132" s="299"/>
      <c r="P132" s="299"/>
      <c r="Q132" s="299"/>
      <c r="R132" s="299"/>
      <c r="S132" s="299"/>
      <c r="T132" s="299"/>
      <c r="U132" s="299"/>
      <c r="V132" s="498"/>
      <c r="W132" s="498"/>
      <c r="X132" s="498"/>
      <c r="Y132" s="498"/>
      <c r="Z132" s="498"/>
      <c r="AA132" s="498"/>
    </row>
    <row r="133" spans="1:27" ht="15" customHeight="1" thickBot="1" x14ac:dyDescent="0.25">
      <c r="A133" s="286"/>
      <c r="B133" s="922" t="s">
        <v>93</v>
      </c>
      <c r="C133" s="923"/>
      <c r="D133" s="245" t="s">
        <v>29</v>
      </c>
      <c r="E133" s="246" t="s">
        <v>94</v>
      </c>
      <c r="F133" s="247" t="s">
        <v>29</v>
      </c>
      <c r="G133" s="248" t="s">
        <v>94</v>
      </c>
      <c r="H133" s="366" t="s">
        <v>29</v>
      </c>
      <c r="I133" s="249" t="s">
        <v>94</v>
      </c>
      <c r="J133" s="250" t="s">
        <v>29</v>
      </c>
      <c r="K133" s="251" t="s">
        <v>94</v>
      </c>
      <c r="L133" s="252" t="s">
        <v>29</v>
      </c>
      <c r="M133" s="249" t="s">
        <v>94</v>
      </c>
      <c r="N133" s="336"/>
      <c r="O133" s="299"/>
      <c r="P133" s="299"/>
      <c r="Q133" s="299"/>
      <c r="R133" s="299"/>
      <c r="S133" s="299"/>
      <c r="T133" s="299"/>
      <c r="U133" s="299"/>
      <c r="V133" s="498"/>
      <c r="W133" s="498"/>
      <c r="X133" s="498"/>
      <c r="Y133" s="498"/>
      <c r="Z133" s="498"/>
      <c r="AA133" s="498"/>
    </row>
    <row r="134" spans="1:27" ht="15" customHeight="1" thickBot="1" x14ac:dyDescent="0.25">
      <c r="A134" s="286"/>
      <c r="B134" s="240" t="s">
        <v>95</v>
      </c>
      <c r="C134" s="237">
        <f>INTAKE!I$30</f>
        <v>0</v>
      </c>
      <c r="D134" s="236">
        <f>INTAKE!I29</f>
        <v>0</v>
      </c>
      <c r="E134" s="234">
        <f>C134*D134</f>
        <v>0</v>
      </c>
      <c r="F134" s="233">
        <f>SUM(1+G125/1)*D134</f>
        <v>0</v>
      </c>
      <c r="G134" s="364">
        <f>C134*F134</f>
        <v>0</v>
      </c>
      <c r="H134" s="368">
        <v>0</v>
      </c>
      <c r="I134" s="365">
        <f>C134*H134</f>
        <v>0</v>
      </c>
      <c r="J134" s="230">
        <f>IF($U$20&lt;0%,0,SUM(H134)*(1-K124)*1)</f>
        <v>0</v>
      </c>
      <c r="K134" s="231">
        <f>IF(J134=0,0,C134*J134)</f>
        <v>0</v>
      </c>
      <c r="L134" s="244">
        <f>IF($Z$17=0,0,SUM(J134)*(1-M124)*1)</f>
        <v>0</v>
      </c>
      <c r="M134" s="242">
        <f>C134*L134</f>
        <v>0</v>
      </c>
      <c r="N134" s="336"/>
      <c r="O134" s="299"/>
      <c r="P134" s="299"/>
      <c r="Q134" s="299"/>
      <c r="R134" s="299"/>
      <c r="S134" s="299"/>
      <c r="T134" s="299"/>
      <c r="U134" s="299"/>
      <c r="V134" s="498"/>
      <c r="W134" s="498"/>
      <c r="X134" s="498"/>
      <c r="Y134" s="498"/>
      <c r="Z134" s="498"/>
      <c r="AA134" s="498"/>
    </row>
    <row r="135" spans="1:27" ht="15" customHeight="1" x14ac:dyDescent="0.2">
      <c r="A135" s="286"/>
      <c r="B135" s="240" t="s">
        <v>96</v>
      </c>
      <c r="C135" s="237">
        <f>INTAKE!J$30</f>
        <v>0</v>
      </c>
      <c r="D135" s="236">
        <f>INTAKE!J29</f>
        <v>0</v>
      </c>
      <c r="E135" s="234">
        <f t="shared" ref="E135:E137" si="33">C135*D135</f>
        <v>0</v>
      </c>
      <c r="F135" s="233">
        <f>SUM(1+G125/1)*D135</f>
        <v>0</v>
      </c>
      <c r="G135" s="232">
        <f t="shared" ref="G135:G137" si="34">C135*F135</f>
        <v>0</v>
      </c>
      <c r="H135" s="367">
        <f>2.2*H134</f>
        <v>0</v>
      </c>
      <c r="I135" s="242">
        <f>C135*H135</f>
        <v>0</v>
      </c>
      <c r="J135" s="230">
        <f>IF($U$20&lt;0%,0,SUM(H135)*(1-K124)*1)</f>
        <v>0</v>
      </c>
      <c r="K135" s="231">
        <f t="shared" ref="K135:K137" si="35">IF(J135=0,0,C135*J135)</f>
        <v>0</v>
      </c>
      <c r="L135" s="244">
        <f>IF($Z$17=0,0,SUM(J135)*(1-M124)*1)</f>
        <v>0</v>
      </c>
      <c r="M135" s="242">
        <f>C135*L135</f>
        <v>0</v>
      </c>
      <c r="N135" s="336"/>
      <c r="O135" s="299"/>
      <c r="P135" s="299"/>
      <c r="Q135" s="299"/>
      <c r="R135" s="299"/>
      <c r="S135" s="299"/>
      <c r="T135" s="299"/>
      <c r="U135" s="299"/>
      <c r="V135" s="498"/>
      <c r="W135" s="498"/>
      <c r="X135" s="498"/>
      <c r="Y135" s="498"/>
      <c r="Z135" s="498"/>
      <c r="AA135" s="498"/>
    </row>
    <row r="136" spans="1:27" ht="15" customHeight="1" x14ac:dyDescent="0.2">
      <c r="A136" s="286"/>
      <c r="B136" s="240" t="s">
        <v>98</v>
      </c>
      <c r="C136" s="237">
        <f>INTAKE!K$30</f>
        <v>0</v>
      </c>
      <c r="D136" s="236">
        <f>INTAKE!K29</f>
        <v>0</v>
      </c>
      <c r="E136" s="234">
        <f t="shared" si="33"/>
        <v>0</v>
      </c>
      <c r="F136" s="233">
        <f>SUM(1+G125/1)*D136</f>
        <v>0</v>
      </c>
      <c r="G136" s="232">
        <f t="shared" si="34"/>
        <v>0</v>
      </c>
      <c r="H136" s="243">
        <f>1.8*H134</f>
        <v>0</v>
      </c>
      <c r="I136" s="242">
        <f>C136*H136</f>
        <v>0</v>
      </c>
      <c r="J136" s="230">
        <f>IF($U$20&lt;0%,0,SUM(H136)*(1-K124)*1)</f>
        <v>0</v>
      </c>
      <c r="K136" s="231">
        <f t="shared" si="35"/>
        <v>0</v>
      </c>
      <c r="L136" s="244">
        <f>IF($Z$17=0,0,SUM(J136)*(1-M124)*1)</f>
        <v>0</v>
      </c>
      <c r="M136" s="242">
        <f>C136*L136</f>
        <v>0</v>
      </c>
      <c r="N136" s="336"/>
      <c r="O136" s="299"/>
      <c r="P136" s="299"/>
      <c r="Q136" s="299"/>
      <c r="R136" s="299"/>
      <c r="S136" s="299"/>
      <c r="T136" s="299"/>
      <c r="U136" s="299"/>
      <c r="V136" s="498"/>
      <c r="W136" s="498"/>
      <c r="X136" s="498"/>
      <c r="Y136" s="498"/>
      <c r="Z136" s="498"/>
      <c r="AA136" s="498"/>
    </row>
    <row r="137" spans="1:27" ht="15" customHeight="1" x14ac:dyDescent="0.2">
      <c r="A137" s="286"/>
      <c r="B137" s="240" t="s">
        <v>100</v>
      </c>
      <c r="C137" s="237">
        <f>INTAKE!L$30</f>
        <v>0</v>
      </c>
      <c r="D137" s="236">
        <f>INTAKE!L29</f>
        <v>0</v>
      </c>
      <c r="E137" s="234">
        <f t="shared" si="33"/>
        <v>0</v>
      </c>
      <c r="F137" s="361">
        <f>SUM(1+G125/1)*D137</f>
        <v>0</v>
      </c>
      <c r="G137" s="232">
        <f t="shared" si="34"/>
        <v>0</v>
      </c>
      <c r="H137" s="243">
        <f>3.1*H134</f>
        <v>0</v>
      </c>
      <c r="I137" s="242">
        <f>C137*H137</f>
        <v>0</v>
      </c>
      <c r="J137" s="230">
        <f>IF($U$20&lt;0%,0,SUM(H137)*(1-K124)*1)</f>
        <v>0</v>
      </c>
      <c r="K137" s="231">
        <f t="shared" si="35"/>
        <v>0</v>
      </c>
      <c r="L137" s="244">
        <f>IF($Z$17=0,0,SUM(J137)*(1-M124)*1)</f>
        <v>0</v>
      </c>
      <c r="M137" s="242">
        <f>C137*L137</f>
        <v>0</v>
      </c>
      <c r="N137" s="336"/>
      <c r="O137" s="299"/>
      <c r="P137" s="299"/>
      <c r="Q137" s="299"/>
      <c r="R137" s="299"/>
      <c r="S137" s="299"/>
      <c r="T137" s="299"/>
      <c r="U137" s="299"/>
      <c r="V137" s="498"/>
      <c r="W137" s="498"/>
      <c r="X137" s="498"/>
      <c r="Y137" s="498"/>
      <c r="Z137" s="498"/>
      <c r="AA137" s="498"/>
    </row>
    <row r="138" spans="1:27" ht="15" customHeight="1" x14ac:dyDescent="0.2">
      <c r="A138" s="286"/>
      <c r="B138" s="924"/>
      <c r="C138" s="925"/>
      <c r="D138" s="358" t="s">
        <v>1734</v>
      </c>
      <c r="E138" s="356">
        <f>SUM(E134:E137)</f>
        <v>0</v>
      </c>
      <c r="F138" s="362" t="s">
        <v>1734</v>
      </c>
      <c r="G138" s="360">
        <f>SUM(G134:G137)</f>
        <v>0</v>
      </c>
      <c r="H138" s="346" t="s">
        <v>1734</v>
      </c>
      <c r="I138" s="347">
        <f>SUM(I134:I137)</f>
        <v>0</v>
      </c>
      <c r="J138" s="350" t="s">
        <v>1734</v>
      </c>
      <c r="K138" s="351">
        <f>IF($M$6&lt;0%=0,0,SUM(K134:K137))</f>
        <v>0</v>
      </c>
      <c r="L138" s="352" t="s">
        <v>1734</v>
      </c>
      <c r="M138" s="347">
        <f>SUM(M134:M137)</f>
        <v>0</v>
      </c>
      <c r="N138" s="336"/>
      <c r="O138" s="299"/>
      <c r="P138" s="299"/>
      <c r="Q138" s="299"/>
      <c r="R138" s="299"/>
      <c r="S138" s="299"/>
      <c r="T138" s="299"/>
      <c r="U138" s="299"/>
      <c r="V138" s="498"/>
      <c r="W138" s="498"/>
      <c r="X138" s="498"/>
      <c r="Y138" s="498"/>
      <c r="Z138" s="498"/>
      <c r="AA138" s="498"/>
    </row>
    <row r="139" spans="1:27" ht="15" customHeight="1" x14ac:dyDescent="0.2">
      <c r="A139" s="286"/>
      <c r="B139" s="926"/>
      <c r="C139" s="927"/>
      <c r="D139" s="358" t="s">
        <v>1767</v>
      </c>
      <c r="E139" s="359">
        <f>E138*12</f>
        <v>0</v>
      </c>
      <c r="F139" s="362" t="s">
        <v>1767</v>
      </c>
      <c r="G139" s="363">
        <f>G138*12</f>
        <v>0</v>
      </c>
      <c r="H139" s="348" t="s">
        <v>1767</v>
      </c>
      <c r="I139" s="349">
        <f>I138*12</f>
        <v>0</v>
      </c>
      <c r="J139" s="353" t="s">
        <v>1767</v>
      </c>
      <c r="K139" s="354">
        <f>K138*12</f>
        <v>0</v>
      </c>
      <c r="L139" s="355" t="s">
        <v>1767</v>
      </c>
      <c r="M139" s="349">
        <f>M138*12</f>
        <v>0</v>
      </c>
      <c r="N139" s="336"/>
      <c r="O139" s="299"/>
      <c r="P139" s="299"/>
      <c r="Q139" s="299"/>
      <c r="R139" s="299"/>
      <c r="S139" s="299"/>
      <c r="T139" s="299"/>
      <c r="U139" s="299"/>
      <c r="V139" s="498"/>
      <c r="W139" s="498"/>
      <c r="X139" s="498"/>
      <c r="Y139" s="498"/>
      <c r="Z139" s="498"/>
      <c r="AA139" s="498"/>
    </row>
    <row r="140" spans="1:27" ht="15" customHeight="1" thickBot="1" x14ac:dyDescent="0.25">
      <c r="A140" s="286"/>
      <c r="B140" s="928"/>
      <c r="C140" s="929"/>
      <c r="D140" s="930"/>
      <c r="E140" s="931"/>
      <c r="F140" s="932"/>
      <c r="G140" s="933"/>
      <c r="H140" s="255" t="s">
        <v>1731</v>
      </c>
      <c r="I140" s="256" t="str">
        <f>IF(I138&lt;1,"",(E139-I139)/E139*-1)</f>
        <v/>
      </c>
      <c r="J140" s="257" t="s">
        <v>1731</v>
      </c>
      <c r="K140" s="258">
        <f>IF(K139=0,0,(E139-K139)/E139*-1)</f>
        <v>0</v>
      </c>
      <c r="L140" s="259" t="s">
        <v>1731</v>
      </c>
      <c r="M140" s="256">
        <f>IF(I138=0,0,(E139-M139)/E139*-1)</f>
        <v>0</v>
      </c>
      <c r="N140" s="336"/>
      <c r="O140" s="299"/>
      <c r="P140" s="299"/>
      <c r="Q140" s="299"/>
      <c r="R140" s="299"/>
      <c r="S140" s="299"/>
      <c r="T140" s="299"/>
      <c r="U140" s="299"/>
      <c r="V140" s="498"/>
      <c r="W140" s="498"/>
      <c r="X140" s="498"/>
      <c r="Y140" s="498"/>
      <c r="Z140" s="498"/>
      <c r="AA140" s="498"/>
    </row>
    <row r="141" spans="1:27" ht="15" customHeight="1" thickTop="1" thickBot="1" x14ac:dyDescent="0.25">
      <c r="A141" s="286"/>
      <c r="B141" s="974" t="s">
        <v>120</v>
      </c>
      <c r="C141" s="975"/>
      <c r="D141" s="980" t="s">
        <v>68</v>
      </c>
      <c r="E141" s="981"/>
      <c r="F141" s="981"/>
      <c r="G141" s="982"/>
      <c r="H141" s="959" t="s">
        <v>69</v>
      </c>
      <c r="I141" s="960"/>
      <c r="J141" s="960"/>
      <c r="K141" s="960"/>
      <c r="L141" s="960"/>
      <c r="M141" s="961"/>
      <c r="N141" s="336"/>
      <c r="O141" s="299"/>
      <c r="P141" s="299"/>
      <c r="Q141" s="299"/>
      <c r="R141" s="299"/>
      <c r="S141" s="299"/>
      <c r="T141" s="299"/>
      <c r="U141" s="299"/>
      <c r="V141" s="498"/>
      <c r="W141" s="498"/>
      <c r="X141" s="498"/>
      <c r="Y141" s="498"/>
      <c r="Z141" s="498"/>
      <c r="AA141" s="498"/>
    </row>
    <row r="142" spans="1:27" ht="15" customHeight="1" thickTop="1" thickBot="1" x14ac:dyDescent="0.25">
      <c r="A142" s="286"/>
      <c r="B142" s="976"/>
      <c r="C142" s="977"/>
      <c r="D142" s="962" t="s">
        <v>74</v>
      </c>
      <c r="E142" s="963"/>
      <c r="F142" s="966" t="s">
        <v>75</v>
      </c>
      <c r="G142" s="967"/>
      <c r="H142" s="970" t="s">
        <v>76</v>
      </c>
      <c r="I142" s="971"/>
      <c r="J142" s="972" t="s">
        <v>1735</v>
      </c>
      <c r="K142" s="973"/>
      <c r="L142" s="970" t="s">
        <v>1736</v>
      </c>
      <c r="M142" s="971"/>
      <c r="N142" s="336"/>
      <c r="O142" s="299"/>
      <c r="P142" s="299"/>
      <c r="Q142" s="299"/>
      <c r="R142" s="299"/>
      <c r="S142" s="299"/>
      <c r="T142" s="299"/>
      <c r="U142" s="299"/>
      <c r="V142" s="498"/>
      <c r="W142" s="498"/>
      <c r="X142" s="498"/>
      <c r="Y142" s="498"/>
      <c r="Z142" s="498"/>
      <c r="AA142" s="498"/>
    </row>
    <row r="143" spans="1:27" ht="15" customHeight="1" thickTop="1" thickBot="1" x14ac:dyDescent="0.25">
      <c r="A143" s="286"/>
      <c r="B143" s="976"/>
      <c r="C143" s="977"/>
      <c r="D143" s="964"/>
      <c r="E143" s="965"/>
      <c r="F143" s="968"/>
      <c r="G143" s="969"/>
      <c r="H143" s="343" t="s">
        <v>1732</v>
      </c>
      <c r="I143" s="341"/>
      <c r="J143" s="345" t="s">
        <v>1733</v>
      </c>
      <c r="K143" s="577">
        <f>IF(E144=0,0,VLOOKUP(E144,RBRATES,2,0))</f>
        <v>0</v>
      </c>
      <c r="L143" s="343" t="s">
        <v>80</v>
      </c>
      <c r="M143" s="510">
        <f>$Z$18</f>
        <v>0</v>
      </c>
      <c r="N143" s="336"/>
      <c r="O143" s="299"/>
      <c r="P143" s="299"/>
      <c r="Q143" s="299"/>
      <c r="R143" s="299"/>
      <c r="S143" s="299"/>
      <c r="T143" s="299"/>
      <c r="U143" s="299"/>
      <c r="V143" s="498"/>
      <c r="W143" s="498"/>
      <c r="X143" s="498"/>
      <c r="Y143" s="498"/>
      <c r="Z143" s="498"/>
      <c r="AA143" s="498"/>
    </row>
    <row r="144" spans="1:27" ht="15" customHeight="1" thickTop="1" thickBot="1" x14ac:dyDescent="0.25">
      <c r="A144" s="286"/>
      <c r="B144" s="978"/>
      <c r="C144" s="979"/>
      <c r="D144" s="565" t="s">
        <v>1850</v>
      </c>
      <c r="E144" s="562">
        <f>INTAKE!C31</f>
        <v>0</v>
      </c>
      <c r="F144" s="342" t="s">
        <v>78</v>
      </c>
      <c r="G144" s="564" t="b">
        <f>IF(E144="HMO",$F$5,IF(E144="PPO",$H$5,IF(E144="CDHP",$J$5)))</f>
        <v>0</v>
      </c>
      <c r="H144" s="344" t="s">
        <v>82</v>
      </c>
      <c r="I144" s="341"/>
      <c r="J144" s="947"/>
      <c r="K144" s="948"/>
      <c r="L144" s="949"/>
      <c r="M144" s="950"/>
      <c r="N144" s="336"/>
      <c r="O144" s="299"/>
      <c r="P144" s="299"/>
      <c r="Q144" s="299"/>
      <c r="R144" s="299"/>
      <c r="S144" s="299"/>
      <c r="T144" s="299"/>
      <c r="U144" s="299"/>
      <c r="V144" s="498"/>
      <c r="W144" s="498"/>
      <c r="X144" s="498"/>
      <c r="Y144" s="498"/>
      <c r="Z144" s="498"/>
      <c r="AA144" s="498"/>
    </row>
    <row r="145" spans="1:27" ht="15" customHeight="1" thickTop="1" x14ac:dyDescent="0.2">
      <c r="A145" s="286"/>
      <c r="B145" s="983" t="s">
        <v>32</v>
      </c>
      <c r="C145" s="984"/>
      <c r="D145" s="953">
        <f>INTAKE!D$31</f>
        <v>0</v>
      </c>
      <c r="E145" s="954"/>
      <c r="F145" s="955"/>
      <c r="G145" s="956"/>
      <c r="H145" s="917" t="e">
        <f>VLOOKUP(I143,[3]PLANS!$A$1:$H$107,2,FALSE)</f>
        <v>#N/A</v>
      </c>
      <c r="I145" s="958"/>
      <c r="J145" s="919" t="e">
        <f t="shared" ref="J145:J151" si="36">H145</f>
        <v>#N/A</v>
      </c>
      <c r="K145" s="920"/>
      <c r="L145" s="921" t="e">
        <f t="shared" ref="L145:L151" si="37">H145</f>
        <v>#N/A</v>
      </c>
      <c r="M145" s="918"/>
      <c r="N145" s="336"/>
      <c r="O145" s="299"/>
      <c r="P145" s="299"/>
      <c r="Q145" s="299"/>
      <c r="R145" s="299"/>
      <c r="S145" s="299"/>
      <c r="T145" s="299"/>
      <c r="U145" s="299"/>
      <c r="V145" s="498"/>
      <c r="W145" s="498"/>
      <c r="X145" s="498"/>
      <c r="Y145" s="498"/>
      <c r="Z145" s="498"/>
      <c r="AA145" s="498"/>
    </row>
    <row r="146" spans="1:27" ht="15" customHeight="1" x14ac:dyDescent="0.2">
      <c r="A146" s="286"/>
      <c r="B146" s="938" t="s">
        <v>36</v>
      </c>
      <c r="C146" s="939"/>
      <c r="D146" s="936">
        <f>INTAKE!N$31</f>
        <v>0</v>
      </c>
      <c r="E146" s="937"/>
      <c r="F146" s="955"/>
      <c r="G146" s="957"/>
      <c r="H146" s="917" t="e">
        <f>VLOOKUP(I143,[3]PLANS!$A$1:$H$107,3,FALSE)</f>
        <v>#N/A</v>
      </c>
      <c r="I146" s="918"/>
      <c r="J146" s="919" t="e">
        <f t="shared" si="36"/>
        <v>#N/A</v>
      </c>
      <c r="K146" s="920"/>
      <c r="L146" s="921" t="e">
        <f t="shared" si="37"/>
        <v>#N/A</v>
      </c>
      <c r="M146" s="918"/>
      <c r="N146" s="336"/>
      <c r="O146" s="299"/>
      <c r="P146" s="299"/>
      <c r="Q146" s="299"/>
      <c r="R146" s="299"/>
      <c r="S146" s="299"/>
      <c r="T146" s="299"/>
      <c r="U146" s="299"/>
      <c r="V146" s="498"/>
      <c r="W146" s="498"/>
      <c r="X146" s="498"/>
      <c r="Y146" s="498"/>
      <c r="Z146" s="498"/>
      <c r="AA146" s="498"/>
    </row>
    <row r="147" spans="1:27" ht="15" customHeight="1" x14ac:dyDescent="0.2">
      <c r="A147" s="286"/>
      <c r="B147" s="945" t="s">
        <v>37</v>
      </c>
      <c r="C147" s="946"/>
      <c r="D147" s="936">
        <f>INTAKE!O$31</f>
        <v>0</v>
      </c>
      <c r="E147" s="937"/>
      <c r="F147" s="955"/>
      <c r="G147" s="957"/>
      <c r="H147" s="917" t="e">
        <f>VLOOKUP(I143,[3]PLANS!$A$1:$H$107,4,FALSE)</f>
        <v>#N/A</v>
      </c>
      <c r="I147" s="918"/>
      <c r="J147" s="919" t="e">
        <f t="shared" si="36"/>
        <v>#N/A</v>
      </c>
      <c r="K147" s="920"/>
      <c r="L147" s="921" t="e">
        <f t="shared" si="37"/>
        <v>#N/A</v>
      </c>
      <c r="M147" s="918"/>
      <c r="N147" s="336"/>
      <c r="O147" s="299"/>
      <c r="P147" s="299"/>
      <c r="Q147" s="299"/>
      <c r="R147" s="299"/>
      <c r="S147" s="299"/>
      <c r="T147" s="299"/>
      <c r="U147" s="299"/>
      <c r="V147" s="498"/>
      <c r="W147" s="498"/>
      <c r="X147" s="498"/>
      <c r="Y147" s="498"/>
      <c r="Z147" s="498"/>
      <c r="AA147" s="498"/>
    </row>
    <row r="148" spans="1:27" ht="15" customHeight="1" x14ac:dyDescent="0.2">
      <c r="A148" s="286"/>
      <c r="B148" s="934" t="s">
        <v>38</v>
      </c>
      <c r="C148" s="935"/>
      <c r="D148" s="915">
        <f>INTAKE!P$31</f>
        <v>0</v>
      </c>
      <c r="E148" s="916"/>
      <c r="F148" s="955"/>
      <c r="G148" s="957"/>
      <c r="H148" s="917" t="e">
        <f>VLOOKUP(I143,[3]PLANS!$A$1:$H$107,5,FALSE)</f>
        <v>#N/A</v>
      </c>
      <c r="I148" s="918"/>
      <c r="J148" s="919" t="e">
        <f t="shared" si="36"/>
        <v>#N/A</v>
      </c>
      <c r="K148" s="920"/>
      <c r="L148" s="921" t="e">
        <f t="shared" si="37"/>
        <v>#N/A</v>
      </c>
      <c r="M148" s="918"/>
      <c r="N148" s="336"/>
      <c r="O148" s="299"/>
      <c r="P148" s="299"/>
      <c r="Q148" s="299"/>
      <c r="R148" s="299"/>
      <c r="S148" s="299"/>
      <c r="T148" s="299"/>
      <c r="U148" s="299"/>
      <c r="V148" s="498"/>
      <c r="W148" s="498"/>
      <c r="X148" s="498"/>
      <c r="Y148" s="498"/>
      <c r="Z148" s="498"/>
      <c r="AA148" s="498"/>
    </row>
    <row r="149" spans="1:27" ht="15" customHeight="1" x14ac:dyDescent="0.2">
      <c r="A149" s="286"/>
      <c r="B149" s="934" t="s">
        <v>39</v>
      </c>
      <c r="C149" s="935"/>
      <c r="D149" s="915">
        <f>INTAKE!Q$31</f>
        <v>0</v>
      </c>
      <c r="E149" s="916"/>
      <c r="F149" s="955"/>
      <c r="G149" s="957"/>
      <c r="H149" s="917" t="e">
        <f>VLOOKUP(I143,[3]PLANS!$A$1:$H$107,6,FALSE)</f>
        <v>#N/A</v>
      </c>
      <c r="I149" s="918"/>
      <c r="J149" s="919" t="e">
        <f t="shared" si="36"/>
        <v>#N/A</v>
      </c>
      <c r="K149" s="920"/>
      <c r="L149" s="921" t="e">
        <f t="shared" si="37"/>
        <v>#N/A</v>
      </c>
      <c r="M149" s="918"/>
      <c r="N149" s="336"/>
      <c r="O149" s="299"/>
      <c r="P149" s="299"/>
      <c r="Q149" s="299"/>
      <c r="R149" s="299"/>
      <c r="S149" s="299"/>
      <c r="T149" s="299"/>
      <c r="U149" s="299"/>
      <c r="V149" s="498"/>
      <c r="W149" s="498"/>
      <c r="X149" s="498"/>
      <c r="Y149" s="498"/>
      <c r="Z149" s="498"/>
      <c r="AA149" s="498"/>
    </row>
    <row r="150" spans="1:27" ht="15" customHeight="1" x14ac:dyDescent="0.2">
      <c r="A150" s="286"/>
      <c r="B150" s="934" t="s">
        <v>90</v>
      </c>
      <c r="C150" s="935"/>
      <c r="D150" s="936">
        <f>INTAKE!R$31</f>
        <v>0</v>
      </c>
      <c r="E150" s="937"/>
      <c r="F150" s="955"/>
      <c r="G150" s="957"/>
      <c r="H150" s="917" t="e">
        <f>VLOOKUP(I143,[3]PLANS!$A$1:$H$107,7,FALSE)</f>
        <v>#N/A</v>
      </c>
      <c r="I150" s="918"/>
      <c r="J150" s="919" t="e">
        <f t="shared" si="36"/>
        <v>#N/A</v>
      </c>
      <c r="K150" s="920"/>
      <c r="L150" s="921" t="e">
        <f t="shared" si="37"/>
        <v>#N/A</v>
      </c>
      <c r="M150" s="918"/>
      <c r="N150" s="336"/>
      <c r="O150" s="299"/>
      <c r="P150" s="299"/>
      <c r="Q150" s="299"/>
      <c r="R150" s="299"/>
      <c r="S150" s="299"/>
      <c r="T150" s="299"/>
      <c r="U150" s="299"/>
      <c r="V150" s="498"/>
      <c r="W150" s="498"/>
      <c r="X150" s="498"/>
      <c r="Y150" s="498"/>
      <c r="Z150" s="498"/>
      <c r="AA150" s="498"/>
    </row>
    <row r="151" spans="1:27" ht="15" customHeight="1" x14ac:dyDescent="0.2">
      <c r="A151" s="286"/>
      <c r="B151" s="938" t="s">
        <v>92</v>
      </c>
      <c r="C151" s="939"/>
      <c r="D151" s="936">
        <f>INTAKE!S$31</f>
        <v>0</v>
      </c>
      <c r="E151" s="937"/>
      <c r="F151" s="955"/>
      <c r="G151" s="957"/>
      <c r="H151" s="940" t="e">
        <f>VLOOKUP(I143,[3]PLANS!$A$1:$H$107,8,FALSE)</f>
        <v>#N/A</v>
      </c>
      <c r="I151" s="941"/>
      <c r="J151" s="942" t="e">
        <f t="shared" si="36"/>
        <v>#N/A</v>
      </c>
      <c r="K151" s="943"/>
      <c r="L151" s="944" t="e">
        <f t="shared" si="37"/>
        <v>#N/A</v>
      </c>
      <c r="M151" s="941"/>
      <c r="N151" s="336"/>
      <c r="O151" s="299"/>
      <c r="P151" s="299"/>
      <c r="Q151" s="299"/>
      <c r="R151" s="299"/>
      <c r="S151" s="299"/>
      <c r="T151" s="299"/>
      <c r="U151" s="299"/>
      <c r="V151" s="498"/>
      <c r="W151" s="498"/>
      <c r="X151" s="498"/>
      <c r="Y151" s="498"/>
      <c r="Z151" s="498"/>
      <c r="AA151" s="498"/>
    </row>
    <row r="152" spans="1:27" ht="15" customHeight="1" thickBot="1" x14ac:dyDescent="0.25">
      <c r="A152" s="286"/>
      <c r="B152" s="922" t="s">
        <v>93</v>
      </c>
      <c r="C152" s="923"/>
      <c r="D152" s="245" t="s">
        <v>29</v>
      </c>
      <c r="E152" s="246" t="s">
        <v>94</v>
      </c>
      <c r="F152" s="247" t="s">
        <v>29</v>
      </c>
      <c r="G152" s="248" t="s">
        <v>94</v>
      </c>
      <c r="H152" s="366" t="s">
        <v>29</v>
      </c>
      <c r="I152" s="249" t="s">
        <v>94</v>
      </c>
      <c r="J152" s="250" t="s">
        <v>29</v>
      </c>
      <c r="K152" s="251" t="s">
        <v>94</v>
      </c>
      <c r="L152" s="252" t="s">
        <v>29</v>
      </c>
      <c r="M152" s="249" t="s">
        <v>94</v>
      </c>
      <c r="N152" s="336"/>
      <c r="O152" s="299"/>
      <c r="P152" s="299"/>
      <c r="Q152" s="299"/>
      <c r="R152" s="299"/>
      <c r="S152" s="299"/>
      <c r="T152" s="299"/>
      <c r="U152" s="299"/>
      <c r="V152" s="498"/>
      <c r="W152" s="498"/>
      <c r="X152" s="498"/>
      <c r="Y152" s="498"/>
      <c r="Z152" s="498"/>
      <c r="AA152" s="498"/>
    </row>
    <row r="153" spans="1:27" ht="15" customHeight="1" thickBot="1" x14ac:dyDescent="0.25">
      <c r="A153" s="286"/>
      <c r="B153" s="240" t="s">
        <v>95</v>
      </c>
      <c r="C153" s="237">
        <f>INTAKE!I$32</f>
        <v>0</v>
      </c>
      <c r="D153" s="236">
        <f>INTAKE!I31</f>
        <v>0</v>
      </c>
      <c r="E153" s="234">
        <f>C153*D153</f>
        <v>0</v>
      </c>
      <c r="F153" s="233">
        <f>SUM(1+G144/1)*D153</f>
        <v>0</v>
      </c>
      <c r="G153" s="364">
        <f>C153*F153</f>
        <v>0</v>
      </c>
      <c r="H153" s="368">
        <v>0</v>
      </c>
      <c r="I153" s="365">
        <f>C153*H153</f>
        <v>0</v>
      </c>
      <c r="J153" s="230">
        <f>IF($U$20&lt;0%,0,SUM(H153)*(1-K143)*1)</f>
        <v>0</v>
      </c>
      <c r="K153" s="231">
        <f>IF(J153=0,0,C153*J153)</f>
        <v>0</v>
      </c>
      <c r="L153" s="244">
        <f>IF($Z$17=0,0,SUM(J153)*(1-M143)*1)</f>
        <v>0</v>
      </c>
      <c r="M153" s="242">
        <f>C153*L153</f>
        <v>0</v>
      </c>
      <c r="N153" s="336"/>
      <c r="O153" s="299"/>
      <c r="P153" s="299"/>
      <c r="Q153" s="299"/>
      <c r="R153" s="299"/>
      <c r="S153" s="299"/>
      <c r="T153" s="299"/>
      <c r="U153" s="299"/>
      <c r="V153" s="498"/>
      <c r="W153" s="498"/>
      <c r="X153" s="498"/>
      <c r="Y153" s="498"/>
      <c r="Z153" s="498"/>
      <c r="AA153" s="498"/>
    </row>
    <row r="154" spans="1:27" ht="15" customHeight="1" x14ac:dyDescent="0.2">
      <c r="A154" s="286"/>
      <c r="B154" s="240" t="s">
        <v>96</v>
      </c>
      <c r="C154" s="237">
        <f>INTAKE!J$32</f>
        <v>0</v>
      </c>
      <c r="D154" s="236">
        <f>INTAKE!J31</f>
        <v>0</v>
      </c>
      <c r="E154" s="234">
        <f t="shared" ref="E154:E156" si="38">C154*D154</f>
        <v>0</v>
      </c>
      <c r="F154" s="233">
        <f>SUM(1+G144/1)*D154</f>
        <v>0</v>
      </c>
      <c r="G154" s="232">
        <f t="shared" ref="G154:G156" si="39">C154*F154</f>
        <v>0</v>
      </c>
      <c r="H154" s="367">
        <f>2.2*H153</f>
        <v>0</v>
      </c>
      <c r="I154" s="242">
        <f>C154*H154</f>
        <v>0</v>
      </c>
      <c r="J154" s="230">
        <f>IF($U$20&lt;0%,0,SUM(H154)*(1-K143)*1)</f>
        <v>0</v>
      </c>
      <c r="K154" s="231">
        <f t="shared" ref="K154:K156" si="40">IF(J154=0,0,C154*J154)</f>
        <v>0</v>
      </c>
      <c r="L154" s="244">
        <f>IF($Z$17=0,0,SUM(J154)*(1-M143)*1)</f>
        <v>0</v>
      </c>
      <c r="M154" s="242">
        <f>C154*L154</f>
        <v>0</v>
      </c>
      <c r="N154" s="336"/>
      <c r="O154" s="299"/>
      <c r="P154" s="299"/>
      <c r="Q154" s="299"/>
      <c r="R154" s="299"/>
      <c r="S154" s="299"/>
      <c r="T154" s="299"/>
      <c r="U154" s="299"/>
      <c r="V154" s="498"/>
      <c r="W154" s="498"/>
      <c r="X154" s="498"/>
      <c r="Y154" s="498"/>
      <c r="Z154" s="498"/>
      <c r="AA154" s="498"/>
    </row>
    <row r="155" spans="1:27" ht="15" customHeight="1" x14ac:dyDescent="0.2">
      <c r="A155" s="286"/>
      <c r="B155" s="240" t="s">
        <v>98</v>
      </c>
      <c r="C155" s="237">
        <f>INTAKE!K$32</f>
        <v>0</v>
      </c>
      <c r="D155" s="236">
        <f>INTAKE!K31</f>
        <v>0</v>
      </c>
      <c r="E155" s="234">
        <f t="shared" si="38"/>
        <v>0</v>
      </c>
      <c r="F155" s="233">
        <f>SUM(1+G144/1)*D155</f>
        <v>0</v>
      </c>
      <c r="G155" s="232">
        <f t="shared" si="39"/>
        <v>0</v>
      </c>
      <c r="H155" s="243">
        <f>1.8*H153</f>
        <v>0</v>
      </c>
      <c r="I155" s="242">
        <f>C155*H155</f>
        <v>0</v>
      </c>
      <c r="J155" s="230">
        <f>IF($U$20&lt;0%,0,SUM(H155)*(1-K143)*1)</f>
        <v>0</v>
      </c>
      <c r="K155" s="231">
        <f t="shared" si="40"/>
        <v>0</v>
      </c>
      <c r="L155" s="244">
        <f>IF($Z$17=0,0,SUM(J155)*(1-M143)*1)</f>
        <v>0</v>
      </c>
      <c r="M155" s="242">
        <f>C155*L155</f>
        <v>0</v>
      </c>
      <c r="N155" s="336"/>
      <c r="O155" s="299"/>
      <c r="P155" s="299"/>
      <c r="Q155" s="299"/>
      <c r="R155" s="299"/>
      <c r="S155" s="299"/>
      <c r="T155" s="299"/>
      <c r="U155" s="299"/>
      <c r="V155" s="498"/>
      <c r="W155" s="498"/>
      <c r="X155" s="498"/>
      <c r="Y155" s="498"/>
      <c r="Z155" s="498"/>
      <c r="AA155" s="498"/>
    </row>
    <row r="156" spans="1:27" ht="15" customHeight="1" x14ac:dyDescent="0.2">
      <c r="A156" s="286"/>
      <c r="B156" s="240" t="s">
        <v>100</v>
      </c>
      <c r="C156" s="237">
        <f>INTAKE!L$32</f>
        <v>0</v>
      </c>
      <c r="D156" s="236">
        <f>INTAKE!L31</f>
        <v>0</v>
      </c>
      <c r="E156" s="234">
        <f t="shared" si="38"/>
        <v>0</v>
      </c>
      <c r="F156" s="361">
        <f>SUM(1+G144/1)*D156</f>
        <v>0</v>
      </c>
      <c r="G156" s="232">
        <f t="shared" si="39"/>
        <v>0</v>
      </c>
      <c r="H156" s="243">
        <f>3.1*H153</f>
        <v>0</v>
      </c>
      <c r="I156" s="242">
        <f>C156*H156</f>
        <v>0</v>
      </c>
      <c r="J156" s="230">
        <f>IF($U$20&lt;0%,0,SUM(H156)*(1-K143)*1)</f>
        <v>0</v>
      </c>
      <c r="K156" s="231">
        <f t="shared" si="40"/>
        <v>0</v>
      </c>
      <c r="L156" s="244">
        <f>IF($Z$17=0,0,SUM(J156)*(1-M143)*1)</f>
        <v>0</v>
      </c>
      <c r="M156" s="242">
        <f>C156*L156</f>
        <v>0</v>
      </c>
      <c r="N156" s="336"/>
      <c r="O156" s="299"/>
      <c r="P156" s="299"/>
      <c r="Q156" s="299"/>
      <c r="R156" s="299"/>
      <c r="S156" s="299"/>
      <c r="T156" s="299"/>
      <c r="U156" s="299"/>
      <c r="V156" s="498"/>
      <c r="W156" s="498"/>
      <c r="X156" s="498"/>
      <c r="Y156" s="498"/>
      <c r="Z156" s="498"/>
      <c r="AA156" s="498"/>
    </row>
    <row r="157" spans="1:27" ht="15" customHeight="1" x14ac:dyDescent="0.2">
      <c r="A157" s="286"/>
      <c r="B157" s="924"/>
      <c r="C157" s="925"/>
      <c r="D157" s="358" t="s">
        <v>1734</v>
      </c>
      <c r="E157" s="356">
        <f>SUM(E153:E156)</f>
        <v>0</v>
      </c>
      <c r="F157" s="362" t="s">
        <v>1734</v>
      </c>
      <c r="G157" s="360">
        <f>SUM(G153:G156)</f>
        <v>0</v>
      </c>
      <c r="H157" s="346" t="s">
        <v>1734</v>
      </c>
      <c r="I157" s="347">
        <f>SUM(I153:I156)</f>
        <v>0</v>
      </c>
      <c r="J157" s="350" t="s">
        <v>1734</v>
      </c>
      <c r="K157" s="351">
        <f>IF($M$6&lt;0%=0,0,SUM(K153:K156))</f>
        <v>0</v>
      </c>
      <c r="L157" s="352" t="s">
        <v>1734</v>
      </c>
      <c r="M157" s="347">
        <f>SUM(M153:M156)</f>
        <v>0</v>
      </c>
      <c r="N157" s="336"/>
      <c r="O157" s="299"/>
      <c r="P157" s="299"/>
      <c r="Q157" s="299"/>
      <c r="R157" s="299"/>
      <c r="S157" s="299"/>
      <c r="T157" s="299"/>
      <c r="U157" s="299"/>
      <c r="V157" s="498"/>
      <c r="W157" s="498"/>
      <c r="X157" s="498"/>
      <c r="Y157" s="498"/>
      <c r="Z157" s="498"/>
      <c r="AA157" s="498"/>
    </row>
    <row r="158" spans="1:27" ht="15" customHeight="1" x14ac:dyDescent="0.2">
      <c r="A158" s="286"/>
      <c r="B158" s="926"/>
      <c r="C158" s="927"/>
      <c r="D158" s="358" t="s">
        <v>1767</v>
      </c>
      <c r="E158" s="359">
        <f>E157*12</f>
        <v>0</v>
      </c>
      <c r="F158" s="362" t="s">
        <v>1767</v>
      </c>
      <c r="G158" s="363">
        <f>G157*12</f>
        <v>0</v>
      </c>
      <c r="H158" s="348" t="s">
        <v>1767</v>
      </c>
      <c r="I158" s="349">
        <f>I157*12</f>
        <v>0</v>
      </c>
      <c r="J158" s="353" t="s">
        <v>1767</v>
      </c>
      <c r="K158" s="354">
        <f>K157*12</f>
        <v>0</v>
      </c>
      <c r="L158" s="355" t="s">
        <v>1767</v>
      </c>
      <c r="M158" s="349">
        <f>M157*12</f>
        <v>0</v>
      </c>
      <c r="N158" s="336"/>
      <c r="O158" s="299"/>
      <c r="P158" s="299"/>
      <c r="Q158" s="299"/>
      <c r="R158" s="299"/>
      <c r="S158" s="299"/>
      <c r="T158" s="299"/>
      <c r="U158" s="299"/>
      <c r="V158" s="498"/>
      <c r="W158" s="498"/>
      <c r="X158" s="498"/>
      <c r="Y158" s="498"/>
      <c r="Z158" s="498"/>
      <c r="AA158" s="498"/>
    </row>
    <row r="159" spans="1:27" ht="15" customHeight="1" thickBot="1" x14ac:dyDescent="0.25">
      <c r="A159" s="286"/>
      <c r="B159" s="928"/>
      <c r="C159" s="929"/>
      <c r="D159" s="930"/>
      <c r="E159" s="931"/>
      <c r="F159" s="932"/>
      <c r="G159" s="933"/>
      <c r="H159" s="255" t="s">
        <v>1731</v>
      </c>
      <c r="I159" s="256" t="str">
        <f>IF(I157&lt;1,"",(E158-I158)/E158*-1)</f>
        <v/>
      </c>
      <c r="J159" s="257" t="s">
        <v>1731</v>
      </c>
      <c r="K159" s="258">
        <f>IF(K158=0,0,(E158-K158)/E158*-1)</f>
        <v>0</v>
      </c>
      <c r="L159" s="259" t="s">
        <v>1731</v>
      </c>
      <c r="M159" s="256">
        <f>IF(I157=0,0,(E158-M158)/E158*-1)</f>
        <v>0</v>
      </c>
      <c r="N159" s="336"/>
      <c r="O159" s="299"/>
      <c r="P159" s="299"/>
      <c r="Q159" s="299"/>
      <c r="R159" s="299"/>
      <c r="S159" s="299"/>
      <c r="T159" s="299"/>
      <c r="U159" s="299"/>
      <c r="V159" s="498"/>
      <c r="W159" s="498"/>
      <c r="X159" s="498"/>
      <c r="Y159" s="498"/>
      <c r="Z159" s="498"/>
      <c r="AA159" s="498"/>
    </row>
    <row r="160" spans="1:27" ht="15" customHeight="1" thickTop="1" thickBot="1" x14ac:dyDescent="0.25">
      <c r="A160" s="286"/>
      <c r="B160" s="974" t="s">
        <v>121</v>
      </c>
      <c r="C160" s="975"/>
      <c r="D160" s="980" t="s">
        <v>68</v>
      </c>
      <c r="E160" s="981"/>
      <c r="F160" s="981"/>
      <c r="G160" s="982"/>
      <c r="H160" s="959" t="s">
        <v>69</v>
      </c>
      <c r="I160" s="960"/>
      <c r="J160" s="960"/>
      <c r="K160" s="960"/>
      <c r="L160" s="960"/>
      <c r="M160" s="961"/>
      <c r="N160" s="336"/>
      <c r="O160" s="299"/>
      <c r="P160" s="299"/>
      <c r="Q160" s="299"/>
      <c r="R160" s="299"/>
      <c r="S160" s="299"/>
      <c r="T160" s="299"/>
      <c r="U160" s="299"/>
      <c r="V160" s="498"/>
      <c r="W160" s="498"/>
      <c r="X160" s="498"/>
      <c r="Y160" s="498"/>
      <c r="Z160" s="498"/>
      <c r="AA160" s="498"/>
    </row>
    <row r="161" spans="1:27" ht="15" customHeight="1" thickTop="1" thickBot="1" x14ac:dyDescent="0.25">
      <c r="A161" s="286"/>
      <c r="B161" s="976"/>
      <c r="C161" s="977"/>
      <c r="D161" s="962" t="s">
        <v>74</v>
      </c>
      <c r="E161" s="963"/>
      <c r="F161" s="966" t="s">
        <v>75</v>
      </c>
      <c r="G161" s="967"/>
      <c r="H161" s="970" t="s">
        <v>76</v>
      </c>
      <c r="I161" s="971"/>
      <c r="J161" s="972" t="s">
        <v>1735</v>
      </c>
      <c r="K161" s="973"/>
      <c r="L161" s="970" t="s">
        <v>1736</v>
      </c>
      <c r="M161" s="971"/>
      <c r="N161" s="336"/>
      <c r="O161" s="299"/>
      <c r="P161" s="299"/>
      <c r="Q161" s="299"/>
      <c r="R161" s="299"/>
      <c r="S161" s="299"/>
      <c r="T161" s="299"/>
      <c r="U161" s="299"/>
      <c r="V161" s="498"/>
      <c r="W161" s="498"/>
      <c r="X161" s="498"/>
      <c r="Y161" s="498"/>
      <c r="Z161" s="498"/>
      <c r="AA161" s="498"/>
    </row>
    <row r="162" spans="1:27" ht="15" customHeight="1" thickTop="1" thickBot="1" x14ac:dyDescent="0.25">
      <c r="A162" s="286"/>
      <c r="B162" s="976"/>
      <c r="C162" s="977"/>
      <c r="D162" s="964"/>
      <c r="E162" s="965"/>
      <c r="F162" s="968"/>
      <c r="G162" s="969"/>
      <c r="H162" s="343" t="s">
        <v>1732</v>
      </c>
      <c r="I162" s="341"/>
      <c r="J162" s="345" t="s">
        <v>1733</v>
      </c>
      <c r="K162" s="577">
        <f>IF(E163=0,0,VLOOKUP(E163,RBRATES,2,0))</f>
        <v>0</v>
      </c>
      <c r="L162" s="343" t="s">
        <v>80</v>
      </c>
      <c r="M162" s="510">
        <f>$Z$18</f>
        <v>0</v>
      </c>
      <c r="N162" s="336"/>
      <c r="O162" s="299"/>
      <c r="P162" s="299"/>
      <c r="Q162" s="299"/>
      <c r="R162" s="299"/>
      <c r="S162" s="299"/>
      <c r="T162" s="299"/>
      <c r="U162" s="299"/>
      <c r="V162" s="498"/>
      <c r="W162" s="498"/>
      <c r="X162" s="498"/>
      <c r="Y162" s="498"/>
      <c r="Z162" s="498"/>
      <c r="AA162" s="498"/>
    </row>
    <row r="163" spans="1:27" ht="15" customHeight="1" thickTop="1" thickBot="1" x14ac:dyDescent="0.25">
      <c r="A163" s="286"/>
      <c r="B163" s="978"/>
      <c r="C163" s="979"/>
      <c r="D163" s="565" t="s">
        <v>1850</v>
      </c>
      <c r="E163" s="562">
        <f>INTAKE!C33</f>
        <v>0</v>
      </c>
      <c r="F163" s="342" t="s">
        <v>78</v>
      </c>
      <c r="G163" s="564" t="b">
        <f>IF(E163="HMO",$F$5,IF(E163="PPO",$H$5,IF(E163="CDHP",$J$5)))</f>
        <v>0</v>
      </c>
      <c r="H163" s="344" t="s">
        <v>82</v>
      </c>
      <c r="I163" s="341"/>
      <c r="J163" s="947"/>
      <c r="K163" s="948"/>
      <c r="L163" s="949"/>
      <c r="M163" s="950"/>
      <c r="N163" s="336"/>
      <c r="O163" s="299"/>
      <c r="P163" s="299"/>
      <c r="Q163" s="299"/>
      <c r="R163" s="299"/>
      <c r="S163" s="299"/>
      <c r="T163" s="299"/>
      <c r="U163" s="299"/>
      <c r="V163" s="498"/>
      <c r="W163" s="498"/>
      <c r="X163" s="498"/>
      <c r="Y163" s="498"/>
      <c r="Z163" s="498"/>
      <c r="AA163" s="498"/>
    </row>
    <row r="164" spans="1:27" ht="15" customHeight="1" thickTop="1" x14ac:dyDescent="0.2">
      <c r="A164" s="286"/>
      <c r="B164" s="951" t="s">
        <v>32</v>
      </c>
      <c r="C164" s="952"/>
      <c r="D164" s="953">
        <f>INTAKE!D$33</f>
        <v>0</v>
      </c>
      <c r="E164" s="954"/>
      <c r="F164" s="955"/>
      <c r="G164" s="956"/>
      <c r="H164" s="917" t="e">
        <f>VLOOKUP(I162,[3]PLANS!$A$1:$H$107,2,FALSE)</f>
        <v>#N/A</v>
      </c>
      <c r="I164" s="958"/>
      <c r="J164" s="919" t="e">
        <f t="shared" ref="J164:J170" si="41">H164</f>
        <v>#N/A</v>
      </c>
      <c r="K164" s="920"/>
      <c r="L164" s="921" t="e">
        <f t="shared" ref="L164:L170" si="42">H164</f>
        <v>#N/A</v>
      </c>
      <c r="M164" s="918"/>
      <c r="N164" s="336"/>
      <c r="O164" s="299"/>
      <c r="P164" s="299"/>
      <c r="Q164" s="299"/>
      <c r="R164" s="299"/>
      <c r="S164" s="299"/>
      <c r="T164" s="299"/>
      <c r="U164" s="299"/>
      <c r="V164" s="498"/>
      <c r="W164" s="498"/>
      <c r="X164" s="498"/>
      <c r="Y164" s="498"/>
      <c r="Z164" s="498"/>
      <c r="AA164" s="498"/>
    </row>
    <row r="165" spans="1:27" ht="15" customHeight="1" x14ac:dyDescent="0.2">
      <c r="A165" s="286"/>
      <c r="B165" s="938" t="s">
        <v>36</v>
      </c>
      <c r="C165" s="939"/>
      <c r="D165" s="936">
        <f>INTAKE!N$33</f>
        <v>0</v>
      </c>
      <c r="E165" s="937"/>
      <c r="F165" s="955"/>
      <c r="G165" s="957"/>
      <c r="H165" s="917" t="e">
        <f>VLOOKUP(I162,[3]PLANS!$A$1:$H$107,3,FALSE)</f>
        <v>#N/A</v>
      </c>
      <c r="I165" s="918"/>
      <c r="J165" s="919" t="e">
        <f t="shared" si="41"/>
        <v>#N/A</v>
      </c>
      <c r="K165" s="920"/>
      <c r="L165" s="921" t="e">
        <f t="shared" si="42"/>
        <v>#N/A</v>
      </c>
      <c r="M165" s="918"/>
      <c r="N165" s="336"/>
      <c r="O165" s="299"/>
      <c r="P165" s="299"/>
      <c r="Q165" s="299"/>
      <c r="R165" s="299"/>
      <c r="S165" s="299"/>
      <c r="T165" s="299"/>
      <c r="U165" s="299"/>
      <c r="V165" s="498"/>
      <c r="W165" s="498"/>
      <c r="X165" s="498"/>
      <c r="Y165" s="498"/>
      <c r="Z165" s="498"/>
      <c r="AA165" s="498"/>
    </row>
    <row r="166" spans="1:27" ht="15" customHeight="1" x14ac:dyDescent="0.2">
      <c r="A166" s="286"/>
      <c r="B166" s="945" t="s">
        <v>37</v>
      </c>
      <c r="C166" s="946"/>
      <c r="D166" s="936">
        <f>INTAKE!O$33</f>
        <v>0</v>
      </c>
      <c r="E166" s="937"/>
      <c r="F166" s="955"/>
      <c r="G166" s="957"/>
      <c r="H166" s="917" t="e">
        <f>VLOOKUP(I162,[3]PLANS!$A$1:$H$107,4,FALSE)</f>
        <v>#N/A</v>
      </c>
      <c r="I166" s="918"/>
      <c r="J166" s="919" t="e">
        <f t="shared" si="41"/>
        <v>#N/A</v>
      </c>
      <c r="K166" s="920"/>
      <c r="L166" s="921" t="e">
        <f t="shared" si="42"/>
        <v>#N/A</v>
      </c>
      <c r="M166" s="918"/>
      <c r="N166" s="336"/>
      <c r="O166" s="299"/>
      <c r="P166" s="299"/>
      <c r="Q166" s="299"/>
      <c r="R166" s="299"/>
      <c r="S166" s="299"/>
      <c r="T166" s="299"/>
      <c r="U166" s="299"/>
      <c r="V166" s="498"/>
      <c r="W166" s="498"/>
      <c r="X166" s="498"/>
      <c r="Y166" s="498"/>
      <c r="Z166" s="498"/>
      <c r="AA166" s="498"/>
    </row>
    <row r="167" spans="1:27" ht="15" customHeight="1" x14ac:dyDescent="0.2">
      <c r="A167" s="286"/>
      <c r="B167" s="934" t="s">
        <v>38</v>
      </c>
      <c r="C167" s="935"/>
      <c r="D167" s="915">
        <f>INTAKE!P$33</f>
        <v>0</v>
      </c>
      <c r="E167" s="916"/>
      <c r="F167" s="955"/>
      <c r="G167" s="957"/>
      <c r="H167" s="917" t="e">
        <f>VLOOKUP(I162,[3]PLANS!$A$1:$H$107,5,FALSE)</f>
        <v>#N/A</v>
      </c>
      <c r="I167" s="918"/>
      <c r="J167" s="919" t="e">
        <f t="shared" si="41"/>
        <v>#N/A</v>
      </c>
      <c r="K167" s="920"/>
      <c r="L167" s="921" t="e">
        <f t="shared" si="42"/>
        <v>#N/A</v>
      </c>
      <c r="M167" s="918"/>
      <c r="N167" s="336"/>
      <c r="O167" s="299"/>
      <c r="P167" s="299"/>
      <c r="Q167" s="299"/>
      <c r="R167" s="299"/>
      <c r="S167" s="299"/>
      <c r="T167" s="299"/>
      <c r="U167" s="299"/>
      <c r="V167" s="498"/>
      <c r="W167" s="498"/>
      <c r="X167" s="498"/>
      <c r="Y167" s="498"/>
      <c r="Z167" s="498"/>
      <c r="AA167" s="498"/>
    </row>
    <row r="168" spans="1:27" ht="15" customHeight="1" x14ac:dyDescent="0.2">
      <c r="A168" s="286"/>
      <c r="B168" s="934" t="s">
        <v>39</v>
      </c>
      <c r="C168" s="935"/>
      <c r="D168" s="915">
        <f>INTAKE!Q$33</f>
        <v>0</v>
      </c>
      <c r="E168" s="916"/>
      <c r="F168" s="955"/>
      <c r="G168" s="957"/>
      <c r="H168" s="917" t="e">
        <f>VLOOKUP(I162,[3]PLANS!$A$1:$H$107,6,FALSE)</f>
        <v>#N/A</v>
      </c>
      <c r="I168" s="918"/>
      <c r="J168" s="919" t="e">
        <f t="shared" si="41"/>
        <v>#N/A</v>
      </c>
      <c r="K168" s="920"/>
      <c r="L168" s="921" t="e">
        <f t="shared" si="42"/>
        <v>#N/A</v>
      </c>
      <c r="M168" s="918"/>
      <c r="N168" s="336"/>
      <c r="O168" s="299"/>
      <c r="P168" s="299"/>
      <c r="Q168" s="299"/>
      <c r="R168" s="299"/>
      <c r="S168" s="299"/>
      <c r="T168" s="299"/>
      <c r="U168" s="299"/>
      <c r="V168" s="498"/>
      <c r="W168" s="498"/>
      <c r="X168" s="498"/>
      <c r="Y168" s="498"/>
      <c r="Z168" s="498"/>
      <c r="AA168" s="498"/>
    </row>
    <row r="169" spans="1:27" ht="15" customHeight="1" x14ac:dyDescent="0.2">
      <c r="A169" s="286"/>
      <c r="B169" s="934" t="s">
        <v>90</v>
      </c>
      <c r="C169" s="935"/>
      <c r="D169" s="936">
        <f>INTAKE!R$33</f>
        <v>0</v>
      </c>
      <c r="E169" s="937"/>
      <c r="F169" s="955"/>
      <c r="G169" s="957"/>
      <c r="H169" s="917" t="e">
        <f>VLOOKUP(I162,[3]PLANS!$A$1:$H$107,7,FALSE)</f>
        <v>#N/A</v>
      </c>
      <c r="I169" s="918"/>
      <c r="J169" s="919" t="e">
        <f t="shared" si="41"/>
        <v>#N/A</v>
      </c>
      <c r="K169" s="920"/>
      <c r="L169" s="921" t="e">
        <f t="shared" si="42"/>
        <v>#N/A</v>
      </c>
      <c r="M169" s="918"/>
      <c r="N169" s="336"/>
      <c r="O169" s="299"/>
      <c r="P169" s="299"/>
      <c r="Q169" s="299"/>
      <c r="R169" s="299"/>
      <c r="S169" s="299"/>
      <c r="T169" s="299"/>
      <c r="U169" s="299"/>
      <c r="V169" s="498"/>
      <c r="W169" s="498"/>
      <c r="X169" s="498"/>
      <c r="Y169" s="498"/>
      <c r="Z169" s="498"/>
      <c r="AA169" s="498"/>
    </row>
    <row r="170" spans="1:27" ht="15" customHeight="1" x14ac:dyDescent="0.2">
      <c r="A170" s="286"/>
      <c r="B170" s="938" t="s">
        <v>92</v>
      </c>
      <c r="C170" s="939"/>
      <c r="D170" s="936">
        <f>INTAKE!S$33</f>
        <v>0</v>
      </c>
      <c r="E170" s="937"/>
      <c r="F170" s="955"/>
      <c r="G170" s="957"/>
      <c r="H170" s="940" t="e">
        <f>VLOOKUP(I162,[3]PLANS!$A$1:$H$107,8,FALSE)</f>
        <v>#N/A</v>
      </c>
      <c r="I170" s="941"/>
      <c r="J170" s="942" t="e">
        <f t="shared" si="41"/>
        <v>#N/A</v>
      </c>
      <c r="K170" s="943"/>
      <c r="L170" s="944" t="e">
        <f t="shared" si="42"/>
        <v>#N/A</v>
      </c>
      <c r="M170" s="941"/>
      <c r="N170" s="336"/>
      <c r="O170" s="299"/>
      <c r="P170" s="299"/>
      <c r="Q170" s="299"/>
      <c r="R170" s="299"/>
      <c r="S170" s="299"/>
      <c r="T170" s="299"/>
      <c r="U170" s="299"/>
      <c r="V170" s="498"/>
      <c r="W170" s="498"/>
      <c r="X170" s="498"/>
      <c r="Y170" s="498"/>
      <c r="Z170" s="498"/>
      <c r="AA170" s="498"/>
    </row>
    <row r="171" spans="1:27" ht="15" customHeight="1" thickBot="1" x14ac:dyDescent="0.25">
      <c r="A171" s="286"/>
      <c r="B171" s="922" t="s">
        <v>93</v>
      </c>
      <c r="C171" s="923"/>
      <c r="D171" s="245" t="s">
        <v>29</v>
      </c>
      <c r="E171" s="246" t="s">
        <v>94</v>
      </c>
      <c r="F171" s="247" t="s">
        <v>29</v>
      </c>
      <c r="G171" s="248" t="s">
        <v>94</v>
      </c>
      <c r="H171" s="366" t="s">
        <v>29</v>
      </c>
      <c r="I171" s="249" t="s">
        <v>94</v>
      </c>
      <c r="J171" s="250" t="s">
        <v>29</v>
      </c>
      <c r="K171" s="251" t="s">
        <v>94</v>
      </c>
      <c r="L171" s="252" t="s">
        <v>29</v>
      </c>
      <c r="M171" s="249" t="s">
        <v>94</v>
      </c>
      <c r="N171" s="336"/>
      <c r="O171" s="299"/>
      <c r="P171" s="299"/>
      <c r="Q171" s="299"/>
      <c r="R171" s="299"/>
      <c r="S171" s="299"/>
      <c r="T171" s="299"/>
      <c r="U171" s="299"/>
      <c r="V171" s="498"/>
      <c r="W171" s="498"/>
      <c r="X171" s="498"/>
      <c r="Y171" s="498"/>
      <c r="Z171" s="498"/>
      <c r="AA171" s="498"/>
    </row>
    <row r="172" spans="1:27" ht="15" customHeight="1" thickBot="1" x14ac:dyDescent="0.25">
      <c r="A172" s="286"/>
      <c r="B172" s="240" t="s">
        <v>95</v>
      </c>
      <c r="C172" s="237">
        <f>INTAKE!I$34</f>
        <v>0</v>
      </c>
      <c r="D172" s="236">
        <f>INTAKE!I33</f>
        <v>0</v>
      </c>
      <c r="E172" s="234">
        <f>C172*D172</f>
        <v>0</v>
      </c>
      <c r="F172" s="233">
        <f>SUM(1+G163/1)*D172</f>
        <v>0</v>
      </c>
      <c r="G172" s="364">
        <f>C172*F172</f>
        <v>0</v>
      </c>
      <c r="H172" s="368">
        <v>0</v>
      </c>
      <c r="I172" s="365">
        <f>C172*H172</f>
        <v>0</v>
      </c>
      <c r="J172" s="230">
        <f>IF($U$20&lt;0%,0,SUM(H172)*(1-K162)*1)</f>
        <v>0</v>
      </c>
      <c r="K172" s="231">
        <f>IF(J172=0,0,C172*J172)</f>
        <v>0</v>
      </c>
      <c r="L172" s="244">
        <f>IF($Z$17=0,0,SUM(J172)*(1-M162)*1)</f>
        <v>0</v>
      </c>
      <c r="M172" s="242">
        <f>C172*L172</f>
        <v>0</v>
      </c>
      <c r="N172" s="336"/>
      <c r="O172" s="299"/>
      <c r="P172" s="299"/>
      <c r="Q172" s="299"/>
      <c r="R172" s="299"/>
      <c r="S172" s="299"/>
      <c r="T172" s="299"/>
      <c r="U172" s="299"/>
      <c r="V172" s="498"/>
      <c r="W172" s="498"/>
      <c r="X172" s="498"/>
      <c r="Y172" s="498"/>
      <c r="Z172" s="498"/>
      <c r="AA172" s="498"/>
    </row>
    <row r="173" spans="1:27" ht="15" customHeight="1" x14ac:dyDescent="0.2">
      <c r="A173" s="286"/>
      <c r="B173" s="240" t="s">
        <v>96</v>
      </c>
      <c r="C173" s="237">
        <f>INTAKE!J$34</f>
        <v>0</v>
      </c>
      <c r="D173" s="236">
        <f>INTAKE!J33</f>
        <v>0</v>
      </c>
      <c r="E173" s="234">
        <f t="shared" ref="E173:E175" si="43">C173*D173</f>
        <v>0</v>
      </c>
      <c r="F173" s="233">
        <f>SUM(1+G163/1)*D173</f>
        <v>0</v>
      </c>
      <c r="G173" s="232">
        <f t="shared" ref="G173:G175" si="44">C173*F173</f>
        <v>0</v>
      </c>
      <c r="H173" s="367">
        <f>2.2*H172</f>
        <v>0</v>
      </c>
      <c r="I173" s="242">
        <f>C173*H173</f>
        <v>0</v>
      </c>
      <c r="J173" s="230">
        <f>IF($U$20&lt;0%,0,SUM(H173)*(1-K162)*1)</f>
        <v>0</v>
      </c>
      <c r="K173" s="231">
        <f t="shared" ref="K173:K175" si="45">IF(J173=0,0,C173*J173)</f>
        <v>0</v>
      </c>
      <c r="L173" s="244">
        <f>IF($Z$17=0,0,SUM(J173)*(1-M162)*1)</f>
        <v>0</v>
      </c>
      <c r="M173" s="242">
        <f>C173*L173</f>
        <v>0</v>
      </c>
      <c r="N173" s="336"/>
      <c r="O173" s="299"/>
      <c r="P173" s="299"/>
      <c r="Q173" s="299"/>
      <c r="R173" s="299"/>
      <c r="S173" s="299"/>
      <c r="T173" s="299"/>
      <c r="U173" s="299"/>
      <c r="V173" s="498"/>
      <c r="W173" s="498"/>
      <c r="X173" s="498"/>
      <c r="Y173" s="498"/>
      <c r="Z173" s="498"/>
      <c r="AA173" s="498"/>
    </row>
    <row r="174" spans="1:27" ht="15" customHeight="1" x14ac:dyDescent="0.2">
      <c r="A174" s="286"/>
      <c r="B174" s="240" t="s">
        <v>98</v>
      </c>
      <c r="C174" s="237">
        <f>INTAKE!K$34</f>
        <v>0</v>
      </c>
      <c r="D174" s="236">
        <f>INTAKE!K33</f>
        <v>0</v>
      </c>
      <c r="E174" s="234">
        <f t="shared" si="43"/>
        <v>0</v>
      </c>
      <c r="F174" s="233">
        <f>SUM(1+G163/1)*D174</f>
        <v>0</v>
      </c>
      <c r="G174" s="232">
        <f t="shared" si="44"/>
        <v>0</v>
      </c>
      <c r="H174" s="243">
        <f>1.8*H172</f>
        <v>0</v>
      </c>
      <c r="I174" s="242">
        <f>C174*H174</f>
        <v>0</v>
      </c>
      <c r="J174" s="230">
        <f>IF($U$20&lt;0%,0,SUM(H174)*(1-K162)*1)</f>
        <v>0</v>
      </c>
      <c r="K174" s="231">
        <f t="shared" si="45"/>
        <v>0</v>
      </c>
      <c r="L174" s="244">
        <f>IF($Z$17=0,0,SUM(J174)*(1-M162)*1)</f>
        <v>0</v>
      </c>
      <c r="M174" s="242">
        <f>C174*L174</f>
        <v>0</v>
      </c>
      <c r="N174" s="336"/>
      <c r="O174" s="299"/>
      <c r="P174" s="299"/>
      <c r="Q174" s="299"/>
      <c r="R174" s="299"/>
      <c r="S174" s="299"/>
      <c r="T174" s="299"/>
      <c r="U174" s="299"/>
      <c r="V174" s="498"/>
      <c r="W174" s="498"/>
      <c r="X174" s="498"/>
      <c r="Y174" s="498"/>
      <c r="Z174" s="498"/>
      <c r="AA174" s="498"/>
    </row>
    <row r="175" spans="1:27" ht="15" customHeight="1" x14ac:dyDescent="0.2">
      <c r="A175" s="286"/>
      <c r="B175" s="240" t="s">
        <v>100</v>
      </c>
      <c r="C175" s="237">
        <f>INTAKE!L$34</f>
        <v>0</v>
      </c>
      <c r="D175" s="236">
        <f>INTAKE!L33</f>
        <v>0</v>
      </c>
      <c r="E175" s="234">
        <f t="shared" si="43"/>
        <v>0</v>
      </c>
      <c r="F175" s="361">
        <f>SUM(1+G163/1)*D175</f>
        <v>0</v>
      </c>
      <c r="G175" s="232">
        <f t="shared" si="44"/>
        <v>0</v>
      </c>
      <c r="H175" s="243">
        <f>3.1*H172</f>
        <v>0</v>
      </c>
      <c r="I175" s="242">
        <f>C175*H175</f>
        <v>0</v>
      </c>
      <c r="J175" s="230">
        <f>IF($U$20&lt;0%,0,SUM(H175)*(1-K162)*1)</f>
        <v>0</v>
      </c>
      <c r="K175" s="231">
        <f t="shared" si="45"/>
        <v>0</v>
      </c>
      <c r="L175" s="244">
        <f>IF($Z$17=0,0,SUM(J175)*(1-M162)*1)</f>
        <v>0</v>
      </c>
      <c r="M175" s="242">
        <f>C175*L175</f>
        <v>0</v>
      </c>
      <c r="N175" s="336"/>
      <c r="O175" s="299"/>
      <c r="P175" s="299"/>
      <c r="Q175" s="299"/>
      <c r="R175" s="299"/>
      <c r="S175" s="299"/>
      <c r="T175" s="299"/>
      <c r="U175" s="299"/>
      <c r="V175" s="498"/>
      <c r="W175" s="498"/>
      <c r="X175" s="498"/>
      <c r="Y175" s="498"/>
      <c r="Z175" s="498"/>
      <c r="AA175" s="498"/>
    </row>
    <row r="176" spans="1:27" ht="15" customHeight="1" x14ac:dyDescent="0.2">
      <c r="A176" s="286"/>
      <c r="B176" s="924"/>
      <c r="C176" s="925"/>
      <c r="D176" s="358" t="s">
        <v>1734</v>
      </c>
      <c r="E176" s="356">
        <f>SUM(E172:E175)</f>
        <v>0</v>
      </c>
      <c r="F176" s="362" t="s">
        <v>1734</v>
      </c>
      <c r="G176" s="360">
        <f>SUM(G172:G175)</f>
        <v>0</v>
      </c>
      <c r="H176" s="346" t="s">
        <v>1734</v>
      </c>
      <c r="I176" s="347">
        <f>SUM(I172:I175)</f>
        <v>0</v>
      </c>
      <c r="J176" s="350" t="s">
        <v>1734</v>
      </c>
      <c r="K176" s="351">
        <f>IF($M$6&lt;0%=0,0,SUM(K172:K175))</f>
        <v>0</v>
      </c>
      <c r="L176" s="352" t="s">
        <v>1734</v>
      </c>
      <c r="M176" s="347">
        <f>SUM(M172:M175)</f>
        <v>0</v>
      </c>
      <c r="N176" s="336"/>
      <c r="O176" s="299"/>
      <c r="P176" s="299"/>
      <c r="Q176" s="299"/>
      <c r="R176" s="299"/>
      <c r="S176" s="299"/>
      <c r="T176" s="299"/>
      <c r="U176" s="299"/>
      <c r="V176" s="498"/>
      <c r="W176" s="498"/>
      <c r="X176" s="498"/>
      <c r="Y176" s="498"/>
      <c r="Z176" s="498"/>
      <c r="AA176" s="498"/>
    </row>
    <row r="177" spans="1:27" ht="15" customHeight="1" x14ac:dyDescent="0.2">
      <c r="A177" s="286"/>
      <c r="B177" s="926"/>
      <c r="C177" s="927"/>
      <c r="D177" s="358" t="s">
        <v>1767</v>
      </c>
      <c r="E177" s="359">
        <f>E176*12</f>
        <v>0</v>
      </c>
      <c r="F177" s="362" t="s">
        <v>1767</v>
      </c>
      <c r="G177" s="363">
        <f>G176*12</f>
        <v>0</v>
      </c>
      <c r="H177" s="348" t="s">
        <v>1767</v>
      </c>
      <c r="I177" s="349">
        <f>I176*12</f>
        <v>0</v>
      </c>
      <c r="J177" s="353" t="s">
        <v>1767</v>
      </c>
      <c r="K177" s="354">
        <f>K176*12</f>
        <v>0</v>
      </c>
      <c r="L177" s="355" t="s">
        <v>1767</v>
      </c>
      <c r="M177" s="349">
        <f>M176*12</f>
        <v>0</v>
      </c>
      <c r="N177" s="336"/>
      <c r="O177" s="299"/>
      <c r="P177" s="299"/>
      <c r="Q177" s="299"/>
      <c r="R177" s="299"/>
      <c r="S177" s="299"/>
      <c r="T177" s="299"/>
      <c r="U177" s="299"/>
      <c r="V177" s="498"/>
      <c r="W177" s="498"/>
      <c r="X177" s="498"/>
      <c r="Y177" s="498"/>
      <c r="Z177" s="498"/>
      <c r="AA177" s="498"/>
    </row>
    <row r="178" spans="1:27" ht="15" customHeight="1" thickBot="1" x14ac:dyDescent="0.25">
      <c r="A178" s="286"/>
      <c r="B178" s="928"/>
      <c r="C178" s="929"/>
      <c r="D178" s="930"/>
      <c r="E178" s="931"/>
      <c r="F178" s="932"/>
      <c r="G178" s="933"/>
      <c r="H178" s="255" t="s">
        <v>1731</v>
      </c>
      <c r="I178" s="256" t="str">
        <f>IF(I176&lt;1,"",(E177-I177)/E177*-1)</f>
        <v/>
      </c>
      <c r="J178" s="257" t="s">
        <v>1731</v>
      </c>
      <c r="K178" s="258">
        <f>IF(K177=0,0,(E177-K177)/E177*-1)</f>
        <v>0</v>
      </c>
      <c r="L178" s="259" t="s">
        <v>1731</v>
      </c>
      <c r="M178" s="256">
        <f>IF(I176=0,0,(E177-M177)/E177*-1)</f>
        <v>0</v>
      </c>
      <c r="N178" s="336"/>
      <c r="O178" s="299"/>
      <c r="P178" s="299"/>
      <c r="Q178" s="299"/>
      <c r="R178" s="299"/>
      <c r="S178" s="299"/>
      <c r="T178" s="299"/>
      <c r="U178" s="299"/>
      <c r="V178" s="498"/>
      <c r="W178" s="498"/>
      <c r="X178" s="498"/>
      <c r="Y178" s="498"/>
      <c r="Z178" s="498"/>
      <c r="AA178" s="498"/>
    </row>
    <row r="179" spans="1:27" ht="15" customHeight="1" thickTop="1" thickBot="1" x14ac:dyDescent="0.25">
      <c r="A179" s="286"/>
      <c r="B179" s="974" t="s">
        <v>122</v>
      </c>
      <c r="C179" s="975"/>
      <c r="D179" s="980" t="s">
        <v>68</v>
      </c>
      <c r="E179" s="981"/>
      <c r="F179" s="981"/>
      <c r="G179" s="982"/>
      <c r="H179" s="959" t="s">
        <v>69</v>
      </c>
      <c r="I179" s="960"/>
      <c r="J179" s="960"/>
      <c r="K179" s="960"/>
      <c r="L179" s="960"/>
      <c r="M179" s="961"/>
      <c r="N179" s="336"/>
      <c r="O179" s="299"/>
      <c r="P179" s="299"/>
      <c r="Q179" s="299"/>
      <c r="R179" s="299"/>
      <c r="S179" s="299"/>
      <c r="T179" s="299"/>
      <c r="U179" s="299"/>
      <c r="V179" s="498"/>
      <c r="W179" s="498"/>
      <c r="X179" s="498"/>
      <c r="Y179" s="498"/>
      <c r="Z179" s="498"/>
      <c r="AA179" s="498"/>
    </row>
    <row r="180" spans="1:27" ht="15" customHeight="1" thickTop="1" thickBot="1" x14ac:dyDescent="0.25">
      <c r="A180" s="286"/>
      <c r="B180" s="976"/>
      <c r="C180" s="977"/>
      <c r="D180" s="962" t="s">
        <v>74</v>
      </c>
      <c r="E180" s="963"/>
      <c r="F180" s="966" t="s">
        <v>75</v>
      </c>
      <c r="G180" s="967"/>
      <c r="H180" s="970" t="s">
        <v>76</v>
      </c>
      <c r="I180" s="971"/>
      <c r="J180" s="972" t="s">
        <v>1735</v>
      </c>
      <c r="K180" s="973"/>
      <c r="L180" s="970" t="s">
        <v>1736</v>
      </c>
      <c r="M180" s="971"/>
      <c r="N180" s="336"/>
      <c r="O180" s="299"/>
      <c r="P180" s="299"/>
      <c r="Q180" s="299"/>
      <c r="R180" s="299"/>
      <c r="S180" s="299"/>
      <c r="T180" s="299"/>
      <c r="U180" s="299"/>
      <c r="V180" s="498"/>
      <c r="W180" s="498"/>
      <c r="X180" s="498"/>
      <c r="Y180" s="498"/>
      <c r="Z180" s="498"/>
      <c r="AA180" s="498"/>
    </row>
    <row r="181" spans="1:27" ht="15" customHeight="1" thickTop="1" thickBot="1" x14ac:dyDescent="0.25">
      <c r="A181" s="286"/>
      <c r="B181" s="976"/>
      <c r="C181" s="977"/>
      <c r="D181" s="964"/>
      <c r="E181" s="965"/>
      <c r="F181" s="968"/>
      <c r="G181" s="969"/>
      <c r="H181" s="343" t="s">
        <v>1732</v>
      </c>
      <c r="I181" s="341"/>
      <c r="J181" s="345" t="s">
        <v>1733</v>
      </c>
      <c r="K181" s="577">
        <f>IF(E182=0,0,VLOOKUP(E182,RBRATES,2,0))</f>
        <v>0</v>
      </c>
      <c r="L181" s="343" t="s">
        <v>80</v>
      </c>
      <c r="M181" s="510">
        <f>$Z$18</f>
        <v>0</v>
      </c>
      <c r="N181" s="336"/>
      <c r="O181" s="299"/>
      <c r="P181" s="299"/>
      <c r="Q181" s="299"/>
      <c r="R181" s="299"/>
      <c r="S181" s="299"/>
      <c r="T181" s="299"/>
      <c r="U181" s="299"/>
      <c r="V181" s="498"/>
      <c r="W181" s="498"/>
      <c r="X181" s="498"/>
      <c r="Y181" s="498"/>
      <c r="Z181" s="498"/>
      <c r="AA181" s="498"/>
    </row>
    <row r="182" spans="1:27" ht="15" customHeight="1" thickTop="1" thickBot="1" x14ac:dyDescent="0.25">
      <c r="A182" s="286"/>
      <c r="B182" s="978"/>
      <c r="C182" s="979"/>
      <c r="D182" s="565" t="s">
        <v>1850</v>
      </c>
      <c r="E182" s="562">
        <f>INTAKE!C35</f>
        <v>0</v>
      </c>
      <c r="F182" s="342" t="s">
        <v>78</v>
      </c>
      <c r="G182" s="564" t="b">
        <f>IF(E182="HMO",$F$5,IF(E182="PPO",$H$5,IF(E182="CDHP",$J$5)))</f>
        <v>0</v>
      </c>
      <c r="H182" s="344" t="s">
        <v>82</v>
      </c>
      <c r="I182" s="341"/>
      <c r="J182" s="947"/>
      <c r="K182" s="948"/>
      <c r="L182" s="949"/>
      <c r="M182" s="950"/>
      <c r="N182" s="336"/>
      <c r="O182" s="299"/>
      <c r="P182" s="299"/>
      <c r="Q182" s="299"/>
      <c r="R182" s="299"/>
      <c r="S182" s="299"/>
      <c r="T182" s="299"/>
      <c r="U182" s="299"/>
      <c r="V182" s="498"/>
      <c r="W182" s="498"/>
      <c r="X182" s="498"/>
      <c r="Y182" s="498"/>
      <c r="Z182" s="498"/>
      <c r="AA182" s="498"/>
    </row>
    <row r="183" spans="1:27" ht="15" customHeight="1" thickTop="1" x14ac:dyDescent="0.2">
      <c r="A183" s="286"/>
      <c r="B183" s="951" t="s">
        <v>32</v>
      </c>
      <c r="C183" s="952"/>
      <c r="D183" s="953">
        <f>INTAKE!D$35</f>
        <v>0</v>
      </c>
      <c r="E183" s="954"/>
      <c r="F183" s="955"/>
      <c r="G183" s="956"/>
      <c r="H183" s="917" t="e">
        <f>VLOOKUP(I181,[3]PLANS!$A$1:$H$107,2,FALSE)</f>
        <v>#N/A</v>
      </c>
      <c r="I183" s="958"/>
      <c r="J183" s="919" t="e">
        <f t="shared" ref="J183:J189" si="46">H183</f>
        <v>#N/A</v>
      </c>
      <c r="K183" s="920"/>
      <c r="L183" s="921" t="e">
        <f t="shared" ref="L183:L189" si="47">H183</f>
        <v>#N/A</v>
      </c>
      <c r="M183" s="918"/>
      <c r="N183" s="336"/>
      <c r="O183" s="299"/>
      <c r="P183" s="299"/>
      <c r="Q183" s="299"/>
      <c r="R183" s="299"/>
      <c r="S183" s="299"/>
      <c r="T183" s="299"/>
      <c r="U183" s="299"/>
      <c r="V183" s="498"/>
      <c r="W183" s="498"/>
      <c r="X183" s="498"/>
      <c r="Y183" s="498"/>
      <c r="Z183" s="498"/>
      <c r="AA183" s="498"/>
    </row>
    <row r="184" spans="1:27" ht="15" customHeight="1" x14ac:dyDescent="0.2">
      <c r="A184" s="286"/>
      <c r="B184" s="938" t="s">
        <v>36</v>
      </c>
      <c r="C184" s="939"/>
      <c r="D184" s="936">
        <f>INTAKE!N$35</f>
        <v>0</v>
      </c>
      <c r="E184" s="937"/>
      <c r="F184" s="955"/>
      <c r="G184" s="957"/>
      <c r="H184" s="917" t="e">
        <f>VLOOKUP(I181,[3]PLANS!$A$1:$H$107,3,FALSE)</f>
        <v>#N/A</v>
      </c>
      <c r="I184" s="918"/>
      <c r="J184" s="919" t="e">
        <f t="shared" si="46"/>
        <v>#N/A</v>
      </c>
      <c r="K184" s="920"/>
      <c r="L184" s="921" t="e">
        <f t="shared" si="47"/>
        <v>#N/A</v>
      </c>
      <c r="M184" s="918"/>
      <c r="N184" s="336"/>
      <c r="O184" s="299"/>
      <c r="P184" s="299"/>
      <c r="Q184" s="299"/>
      <c r="R184" s="299"/>
      <c r="S184" s="299"/>
      <c r="T184" s="299"/>
      <c r="U184" s="299"/>
      <c r="V184" s="498"/>
      <c r="W184" s="498"/>
      <c r="X184" s="498"/>
      <c r="Y184" s="498"/>
      <c r="Z184" s="498"/>
      <c r="AA184" s="498"/>
    </row>
    <row r="185" spans="1:27" ht="15" customHeight="1" x14ac:dyDescent="0.2">
      <c r="A185" s="286"/>
      <c r="B185" s="945" t="s">
        <v>37</v>
      </c>
      <c r="C185" s="946"/>
      <c r="D185" s="936">
        <f>INTAKE!O$35</f>
        <v>0</v>
      </c>
      <c r="E185" s="937"/>
      <c r="F185" s="955"/>
      <c r="G185" s="957"/>
      <c r="H185" s="917" t="e">
        <f>VLOOKUP(I181,[3]PLANS!$A$1:$H$107,4,FALSE)</f>
        <v>#N/A</v>
      </c>
      <c r="I185" s="918"/>
      <c r="J185" s="919" t="e">
        <f t="shared" si="46"/>
        <v>#N/A</v>
      </c>
      <c r="K185" s="920"/>
      <c r="L185" s="921" t="e">
        <f t="shared" si="47"/>
        <v>#N/A</v>
      </c>
      <c r="M185" s="918"/>
      <c r="N185" s="336"/>
      <c r="O185" s="299"/>
      <c r="P185" s="299"/>
      <c r="Q185" s="299"/>
      <c r="R185" s="299"/>
      <c r="S185" s="299"/>
      <c r="T185" s="299"/>
      <c r="U185" s="299"/>
      <c r="V185" s="498"/>
      <c r="W185" s="498"/>
      <c r="X185" s="498"/>
      <c r="Y185" s="498"/>
      <c r="Z185" s="498"/>
      <c r="AA185" s="498"/>
    </row>
    <row r="186" spans="1:27" ht="15" customHeight="1" x14ac:dyDescent="0.2">
      <c r="A186" s="286"/>
      <c r="B186" s="934" t="s">
        <v>38</v>
      </c>
      <c r="C186" s="935"/>
      <c r="D186" s="915">
        <f>INTAKE!P$35</f>
        <v>0</v>
      </c>
      <c r="E186" s="916"/>
      <c r="F186" s="955"/>
      <c r="G186" s="957"/>
      <c r="H186" s="917" t="e">
        <f>VLOOKUP(I181,[3]PLANS!$A$1:$H$107,5,FALSE)</f>
        <v>#N/A</v>
      </c>
      <c r="I186" s="918"/>
      <c r="J186" s="919" t="e">
        <f t="shared" si="46"/>
        <v>#N/A</v>
      </c>
      <c r="K186" s="920"/>
      <c r="L186" s="921" t="e">
        <f t="shared" si="47"/>
        <v>#N/A</v>
      </c>
      <c r="M186" s="918"/>
      <c r="N186" s="336"/>
      <c r="O186" s="299"/>
      <c r="P186" s="299"/>
      <c r="Q186" s="299"/>
      <c r="R186" s="299"/>
      <c r="S186" s="299"/>
      <c r="T186" s="299"/>
      <c r="U186" s="299"/>
      <c r="V186" s="498"/>
      <c r="W186" s="498"/>
      <c r="X186" s="498"/>
      <c r="Y186" s="498"/>
      <c r="Z186" s="498"/>
      <c r="AA186" s="498"/>
    </row>
    <row r="187" spans="1:27" ht="15" customHeight="1" x14ac:dyDescent="0.2">
      <c r="A187" s="286"/>
      <c r="B187" s="934" t="s">
        <v>39</v>
      </c>
      <c r="C187" s="935"/>
      <c r="D187" s="915">
        <f>INTAKE!Q$35</f>
        <v>0</v>
      </c>
      <c r="E187" s="916"/>
      <c r="F187" s="955"/>
      <c r="G187" s="957"/>
      <c r="H187" s="917" t="e">
        <f>VLOOKUP(I181,[3]PLANS!$A$1:$H$107,6,FALSE)</f>
        <v>#N/A</v>
      </c>
      <c r="I187" s="918"/>
      <c r="J187" s="919" t="e">
        <f t="shared" si="46"/>
        <v>#N/A</v>
      </c>
      <c r="K187" s="920"/>
      <c r="L187" s="921" t="e">
        <f t="shared" si="47"/>
        <v>#N/A</v>
      </c>
      <c r="M187" s="918"/>
      <c r="N187" s="336"/>
      <c r="O187" s="299"/>
      <c r="P187" s="299"/>
      <c r="Q187" s="299"/>
      <c r="R187" s="299"/>
      <c r="S187" s="299"/>
      <c r="T187" s="299"/>
      <c r="U187" s="299"/>
      <c r="V187" s="498"/>
      <c r="W187" s="498"/>
      <c r="X187" s="498"/>
      <c r="Y187" s="498"/>
      <c r="Z187" s="498"/>
      <c r="AA187" s="498"/>
    </row>
    <row r="188" spans="1:27" ht="15" customHeight="1" x14ac:dyDescent="0.2">
      <c r="A188" s="286"/>
      <c r="B188" s="934" t="s">
        <v>90</v>
      </c>
      <c r="C188" s="935"/>
      <c r="D188" s="936">
        <f>INTAKE!R$35</f>
        <v>0</v>
      </c>
      <c r="E188" s="937"/>
      <c r="F188" s="955"/>
      <c r="G188" s="957"/>
      <c r="H188" s="917" t="e">
        <f>VLOOKUP(I181,[3]PLANS!$A$1:$H$107,7,FALSE)</f>
        <v>#N/A</v>
      </c>
      <c r="I188" s="918"/>
      <c r="J188" s="919" t="e">
        <f t="shared" si="46"/>
        <v>#N/A</v>
      </c>
      <c r="K188" s="920"/>
      <c r="L188" s="921" t="e">
        <f t="shared" si="47"/>
        <v>#N/A</v>
      </c>
      <c r="M188" s="918"/>
      <c r="N188" s="336"/>
      <c r="O188" s="299"/>
      <c r="P188" s="299"/>
      <c r="Q188" s="299"/>
      <c r="R188" s="299"/>
      <c r="S188" s="299"/>
      <c r="T188" s="299"/>
      <c r="U188" s="299"/>
      <c r="V188" s="498"/>
      <c r="W188" s="498"/>
      <c r="X188" s="498"/>
      <c r="Y188" s="498"/>
      <c r="Z188" s="498"/>
      <c r="AA188" s="498"/>
    </row>
    <row r="189" spans="1:27" ht="15" customHeight="1" x14ac:dyDescent="0.2">
      <c r="A189" s="286"/>
      <c r="B189" s="938" t="s">
        <v>92</v>
      </c>
      <c r="C189" s="939"/>
      <c r="D189" s="936">
        <f>INTAKE!S$35</f>
        <v>0</v>
      </c>
      <c r="E189" s="937"/>
      <c r="F189" s="955"/>
      <c r="G189" s="957"/>
      <c r="H189" s="940" t="e">
        <f>VLOOKUP(I181,[3]PLANS!$A$1:$H$107,8,FALSE)</f>
        <v>#N/A</v>
      </c>
      <c r="I189" s="941"/>
      <c r="J189" s="942" t="e">
        <f t="shared" si="46"/>
        <v>#N/A</v>
      </c>
      <c r="K189" s="943"/>
      <c r="L189" s="944" t="e">
        <f t="shared" si="47"/>
        <v>#N/A</v>
      </c>
      <c r="M189" s="941"/>
      <c r="N189" s="336"/>
      <c r="O189" s="299"/>
      <c r="P189" s="299"/>
      <c r="Q189" s="299"/>
      <c r="R189" s="299"/>
      <c r="S189" s="299"/>
      <c r="T189" s="299"/>
      <c r="U189" s="299"/>
      <c r="V189" s="498"/>
      <c r="W189" s="498"/>
      <c r="X189" s="498"/>
      <c r="Y189" s="498"/>
      <c r="Z189" s="498"/>
      <c r="AA189" s="498"/>
    </row>
    <row r="190" spans="1:27" ht="15" customHeight="1" thickBot="1" x14ac:dyDescent="0.25">
      <c r="A190" s="286"/>
      <c r="B190" s="922" t="s">
        <v>93</v>
      </c>
      <c r="C190" s="923"/>
      <c r="D190" s="245" t="s">
        <v>29</v>
      </c>
      <c r="E190" s="246" t="s">
        <v>94</v>
      </c>
      <c r="F190" s="247" t="s">
        <v>29</v>
      </c>
      <c r="G190" s="248" t="s">
        <v>94</v>
      </c>
      <c r="H190" s="366" t="s">
        <v>29</v>
      </c>
      <c r="I190" s="249" t="s">
        <v>94</v>
      </c>
      <c r="J190" s="250" t="s">
        <v>29</v>
      </c>
      <c r="K190" s="251" t="s">
        <v>94</v>
      </c>
      <c r="L190" s="252" t="s">
        <v>29</v>
      </c>
      <c r="M190" s="249" t="s">
        <v>94</v>
      </c>
      <c r="N190" s="336"/>
      <c r="O190" s="299"/>
      <c r="P190" s="299"/>
      <c r="Q190" s="299"/>
      <c r="R190" s="299"/>
      <c r="S190" s="299"/>
      <c r="T190" s="299"/>
      <c r="U190" s="299"/>
      <c r="V190" s="498"/>
      <c r="W190" s="498"/>
      <c r="X190" s="498"/>
      <c r="Y190" s="498"/>
      <c r="Z190" s="498"/>
      <c r="AA190" s="498"/>
    </row>
    <row r="191" spans="1:27" ht="15" customHeight="1" thickBot="1" x14ac:dyDescent="0.25">
      <c r="A191" s="286"/>
      <c r="B191" s="240" t="s">
        <v>95</v>
      </c>
      <c r="C191" s="237">
        <f>INTAKE!I$36</f>
        <v>0</v>
      </c>
      <c r="D191" s="236">
        <f>INTAKE!I35</f>
        <v>0</v>
      </c>
      <c r="E191" s="234">
        <f>C191*D191</f>
        <v>0</v>
      </c>
      <c r="F191" s="233">
        <f>SUM(1+G182/1)*D191</f>
        <v>0</v>
      </c>
      <c r="G191" s="364">
        <f>C191*F191</f>
        <v>0</v>
      </c>
      <c r="H191" s="368">
        <v>0</v>
      </c>
      <c r="I191" s="365">
        <f>C191*H191</f>
        <v>0</v>
      </c>
      <c r="J191" s="230">
        <f>IF($U$20&lt;0%,0,SUM(H191)*(1-K181)*1)</f>
        <v>0</v>
      </c>
      <c r="K191" s="231">
        <f>IF(J191=0,0,C191*J191)</f>
        <v>0</v>
      </c>
      <c r="L191" s="244">
        <f>IF($Z$17=0,0,SUM(J191)*(1-M181)*1)</f>
        <v>0</v>
      </c>
      <c r="M191" s="242">
        <f>C191*L191</f>
        <v>0</v>
      </c>
      <c r="N191" s="336"/>
      <c r="O191" s="299"/>
      <c r="P191" s="299"/>
      <c r="Q191" s="299"/>
      <c r="R191" s="299"/>
      <c r="S191" s="299"/>
      <c r="T191" s="299"/>
      <c r="U191" s="299"/>
      <c r="V191" s="498"/>
      <c r="W191" s="498"/>
      <c r="X191" s="498"/>
      <c r="Y191" s="498"/>
      <c r="Z191" s="498"/>
      <c r="AA191" s="498"/>
    </row>
    <row r="192" spans="1:27" ht="15" customHeight="1" x14ac:dyDescent="0.2">
      <c r="A192" s="286"/>
      <c r="B192" s="240" t="s">
        <v>96</v>
      </c>
      <c r="C192" s="237">
        <f>INTAKE!J$36</f>
        <v>0</v>
      </c>
      <c r="D192" s="236">
        <f>INTAKE!J35</f>
        <v>0</v>
      </c>
      <c r="E192" s="234">
        <f t="shared" ref="E192:E194" si="48">C192*D192</f>
        <v>0</v>
      </c>
      <c r="F192" s="233">
        <f>SUM(1+G182/1)*D192</f>
        <v>0</v>
      </c>
      <c r="G192" s="232">
        <f t="shared" ref="G192:G194" si="49">C192*F192</f>
        <v>0</v>
      </c>
      <c r="H192" s="367">
        <f>2.2*H191</f>
        <v>0</v>
      </c>
      <c r="I192" s="242">
        <f>C192*H192</f>
        <v>0</v>
      </c>
      <c r="J192" s="230">
        <f>IF($U$20&lt;0%,0,SUM(H192)*(1-K181)*1)</f>
        <v>0</v>
      </c>
      <c r="K192" s="231">
        <f t="shared" ref="K192:K194" si="50">IF(J192=0,0,C192*J192)</f>
        <v>0</v>
      </c>
      <c r="L192" s="244">
        <f>IF($Z$17=0,0,SUM(J192)*(1-M181)*1)</f>
        <v>0</v>
      </c>
      <c r="M192" s="242">
        <f>C192*L192</f>
        <v>0</v>
      </c>
      <c r="N192" s="336"/>
      <c r="O192" s="299"/>
      <c r="P192" s="299"/>
      <c r="Q192" s="299"/>
      <c r="R192" s="299"/>
      <c r="S192" s="299"/>
      <c r="T192" s="299"/>
      <c r="U192" s="299"/>
      <c r="V192" s="498"/>
      <c r="W192" s="498"/>
      <c r="X192" s="498"/>
      <c r="Y192" s="498"/>
      <c r="Z192" s="498"/>
      <c r="AA192" s="498"/>
    </row>
    <row r="193" spans="1:27" ht="15" customHeight="1" x14ac:dyDescent="0.2">
      <c r="A193" s="286"/>
      <c r="B193" s="240" t="s">
        <v>98</v>
      </c>
      <c r="C193" s="237">
        <f>INTAKE!K$36</f>
        <v>0</v>
      </c>
      <c r="D193" s="236">
        <f>INTAKE!K35</f>
        <v>0</v>
      </c>
      <c r="E193" s="234">
        <f t="shared" si="48"/>
        <v>0</v>
      </c>
      <c r="F193" s="233">
        <f>SUM(1+G182/1)*D193</f>
        <v>0</v>
      </c>
      <c r="G193" s="232">
        <f t="shared" si="49"/>
        <v>0</v>
      </c>
      <c r="H193" s="243">
        <f>1.8*H191</f>
        <v>0</v>
      </c>
      <c r="I193" s="242">
        <f>C193*H193</f>
        <v>0</v>
      </c>
      <c r="J193" s="230">
        <f>IF($U$20&lt;0%,0,SUM(H193)*(1-K181)*1)</f>
        <v>0</v>
      </c>
      <c r="K193" s="231">
        <f t="shared" si="50"/>
        <v>0</v>
      </c>
      <c r="L193" s="244">
        <f>IF($Z$17=0,0,SUM(J193)*(1-M181)*1)</f>
        <v>0</v>
      </c>
      <c r="M193" s="242">
        <f>C193*L193</f>
        <v>0</v>
      </c>
      <c r="N193" s="336"/>
      <c r="O193" s="299"/>
      <c r="P193" s="299"/>
      <c r="Q193" s="299"/>
      <c r="R193" s="299"/>
      <c r="S193" s="299"/>
      <c r="T193" s="299"/>
      <c r="U193" s="299"/>
      <c r="V193" s="498"/>
      <c r="W193" s="498"/>
      <c r="X193" s="498"/>
      <c r="Y193" s="498"/>
      <c r="Z193" s="498"/>
      <c r="AA193" s="498"/>
    </row>
    <row r="194" spans="1:27" ht="15" customHeight="1" x14ac:dyDescent="0.2">
      <c r="A194" s="286"/>
      <c r="B194" s="240" t="s">
        <v>100</v>
      </c>
      <c r="C194" s="237">
        <f>INTAKE!L$36</f>
        <v>0</v>
      </c>
      <c r="D194" s="236">
        <f>INTAKE!L35</f>
        <v>0</v>
      </c>
      <c r="E194" s="234">
        <f t="shared" si="48"/>
        <v>0</v>
      </c>
      <c r="F194" s="361">
        <f>SUM(1+G182/1)*D194</f>
        <v>0</v>
      </c>
      <c r="G194" s="232">
        <f t="shared" si="49"/>
        <v>0</v>
      </c>
      <c r="H194" s="243">
        <f>3.1*H191</f>
        <v>0</v>
      </c>
      <c r="I194" s="242">
        <f>C194*H194</f>
        <v>0</v>
      </c>
      <c r="J194" s="230">
        <f>IF($U$20&lt;0%,0,SUM(H194)*(1-K181)*1)</f>
        <v>0</v>
      </c>
      <c r="K194" s="231">
        <f t="shared" si="50"/>
        <v>0</v>
      </c>
      <c r="L194" s="244">
        <f>IF($Z$17=0,0,SUM(J194)*(1-M181)*1)</f>
        <v>0</v>
      </c>
      <c r="M194" s="242">
        <f>C194*L194</f>
        <v>0</v>
      </c>
      <c r="N194" s="336"/>
      <c r="O194" s="299"/>
      <c r="P194" s="299"/>
      <c r="Q194" s="299"/>
      <c r="R194" s="299"/>
      <c r="S194" s="299"/>
      <c r="T194" s="299"/>
      <c r="U194" s="299"/>
      <c r="V194" s="498"/>
      <c r="W194" s="498"/>
      <c r="X194" s="498"/>
      <c r="Y194" s="498"/>
      <c r="Z194" s="498"/>
      <c r="AA194" s="498"/>
    </row>
    <row r="195" spans="1:27" x14ac:dyDescent="0.2">
      <c r="B195" s="924"/>
      <c r="C195" s="925"/>
      <c r="D195" s="358" t="s">
        <v>1734</v>
      </c>
      <c r="E195" s="356">
        <f>SUM(E191:E194)</f>
        <v>0</v>
      </c>
      <c r="F195" s="362" t="s">
        <v>1734</v>
      </c>
      <c r="G195" s="360">
        <f>SUM(G191:G194)</f>
        <v>0</v>
      </c>
      <c r="H195" s="346" t="s">
        <v>1734</v>
      </c>
      <c r="I195" s="347">
        <f>SUM(I191:I194)</f>
        <v>0</v>
      </c>
      <c r="J195" s="350" t="s">
        <v>1734</v>
      </c>
      <c r="K195" s="351">
        <f>IF($M$6&lt;0%=0,0,SUM(K191:K194))</f>
        <v>0</v>
      </c>
      <c r="L195" s="352" t="s">
        <v>1734</v>
      </c>
      <c r="M195" s="347">
        <f>SUM(M191:M194)</f>
        <v>0</v>
      </c>
      <c r="N195" s="336"/>
      <c r="O195" s="299"/>
      <c r="P195" s="299"/>
      <c r="Q195" s="299"/>
      <c r="R195" s="299"/>
      <c r="S195" s="299"/>
      <c r="T195" s="299"/>
      <c r="U195" s="299"/>
      <c r="V195" s="498"/>
      <c r="W195" s="498"/>
      <c r="X195" s="498"/>
      <c r="Y195" s="498"/>
      <c r="Z195" s="498"/>
      <c r="AA195" s="498"/>
    </row>
    <row r="196" spans="1:27" x14ac:dyDescent="0.2">
      <c r="B196" s="926"/>
      <c r="C196" s="927"/>
      <c r="D196" s="358" t="s">
        <v>1767</v>
      </c>
      <c r="E196" s="359">
        <f>E195*12</f>
        <v>0</v>
      </c>
      <c r="F196" s="362" t="s">
        <v>1767</v>
      </c>
      <c r="G196" s="363">
        <f>G195*12</f>
        <v>0</v>
      </c>
      <c r="H196" s="348" t="s">
        <v>1767</v>
      </c>
      <c r="I196" s="349">
        <f>I195*12</f>
        <v>0</v>
      </c>
      <c r="J196" s="353" t="s">
        <v>1767</v>
      </c>
      <c r="K196" s="354">
        <f>K195*12</f>
        <v>0</v>
      </c>
      <c r="L196" s="355" t="s">
        <v>1767</v>
      </c>
      <c r="M196" s="349">
        <f>M195*12</f>
        <v>0</v>
      </c>
      <c r="N196" s="336"/>
      <c r="O196" s="299"/>
      <c r="P196" s="299"/>
      <c r="Q196" s="299"/>
      <c r="R196" s="299"/>
      <c r="S196" s="299"/>
      <c r="T196" s="299"/>
      <c r="U196" s="299"/>
      <c r="V196" s="498"/>
      <c r="W196" s="498"/>
      <c r="X196" s="498"/>
      <c r="Y196" s="498"/>
      <c r="Z196" s="498"/>
      <c r="AA196" s="498"/>
    </row>
    <row r="197" spans="1:27" ht="16" thickBot="1" x14ac:dyDescent="0.25">
      <c r="A197" s="299"/>
      <c r="B197" s="928"/>
      <c r="C197" s="929"/>
      <c r="D197" s="930"/>
      <c r="E197" s="931"/>
      <c r="F197" s="932"/>
      <c r="G197" s="933"/>
      <c r="H197" s="255" t="s">
        <v>1731</v>
      </c>
      <c r="I197" s="256" t="str">
        <f>IF(I195&lt;1,"",(E196-I196)/E196*-1)</f>
        <v/>
      </c>
      <c r="J197" s="257" t="s">
        <v>1731</v>
      </c>
      <c r="K197" s="258">
        <f>IF(K196=0,0,(E196-K196)/E196*-1)</f>
        <v>0</v>
      </c>
      <c r="L197" s="259" t="s">
        <v>1731</v>
      </c>
      <c r="M197" s="256">
        <f>IF(I195=0,0,(E196-M196)/E196*-1)</f>
        <v>0</v>
      </c>
      <c r="N197" s="336"/>
      <c r="O197" s="299"/>
      <c r="P197" s="299"/>
      <c r="Q197" s="299"/>
      <c r="R197" s="299"/>
      <c r="S197" s="299"/>
      <c r="T197" s="299"/>
      <c r="U197" s="299"/>
      <c r="V197" s="498"/>
      <c r="W197" s="498"/>
      <c r="X197" s="498"/>
      <c r="Y197" s="498"/>
      <c r="Z197" s="498"/>
      <c r="AA197" s="498"/>
    </row>
    <row r="198" spans="1:27" ht="16" thickTop="1" x14ac:dyDescent="0.2">
      <c r="A198" s="299"/>
      <c r="B198" s="299"/>
      <c r="C198" s="299"/>
      <c r="D198" s="299"/>
      <c r="E198" s="299"/>
      <c r="F198" s="299"/>
      <c r="G198" s="299"/>
      <c r="H198" s="299"/>
      <c r="I198" s="299"/>
      <c r="J198" s="299"/>
      <c r="K198" s="299"/>
      <c r="L198" s="299"/>
      <c r="M198" s="299"/>
      <c r="N198" s="299"/>
      <c r="O198" s="299"/>
      <c r="P198" s="299"/>
      <c r="Q198" s="299"/>
      <c r="R198" s="299"/>
      <c r="S198" s="299"/>
      <c r="T198" s="299"/>
      <c r="U198" s="299"/>
      <c r="V198" s="299"/>
      <c r="W198" s="299"/>
      <c r="X198" s="299"/>
      <c r="Y198" s="299"/>
      <c r="Z198" s="299"/>
      <c r="AA198" s="299"/>
    </row>
  </sheetData>
  <mergeCells count="526">
    <mergeCell ref="U6:V6"/>
    <mergeCell ref="U7:V7"/>
    <mergeCell ref="U8:V8"/>
    <mergeCell ref="H188:I188"/>
    <mergeCell ref="J188:K188"/>
    <mergeCell ref="L188:M188"/>
    <mergeCell ref="J185:K185"/>
    <mergeCell ref="L185:M185"/>
    <mergeCell ref="H180:I180"/>
    <mergeCell ref="J180:K180"/>
    <mergeCell ref="L180:M180"/>
    <mergeCell ref="H161:I161"/>
    <mergeCell ref="J161:K161"/>
    <mergeCell ref="L161:M161"/>
    <mergeCell ref="L146:M146"/>
    <mergeCell ref="L127:M127"/>
    <mergeCell ref="L108:M108"/>
    <mergeCell ref="L89:M89"/>
    <mergeCell ref="L70:M70"/>
    <mergeCell ref="H55:I55"/>
    <mergeCell ref="H128:I128"/>
    <mergeCell ref="J128:K128"/>
    <mergeCell ref="L128:M128"/>
    <mergeCell ref="H123:I123"/>
    <mergeCell ref="D197:E197"/>
    <mergeCell ref="F197:G197"/>
    <mergeCell ref="D26:E26"/>
    <mergeCell ref="F26:G26"/>
    <mergeCell ref="D64:E64"/>
    <mergeCell ref="F64:G64"/>
    <mergeCell ref="D83:E83"/>
    <mergeCell ref="F83:G83"/>
    <mergeCell ref="D102:E102"/>
    <mergeCell ref="F102:G102"/>
    <mergeCell ref="D121:E121"/>
    <mergeCell ref="F121:G121"/>
    <mergeCell ref="D140:E140"/>
    <mergeCell ref="F140:G140"/>
    <mergeCell ref="D159:E159"/>
    <mergeCell ref="F159:G159"/>
    <mergeCell ref="F45:G45"/>
    <mergeCell ref="D45:E45"/>
    <mergeCell ref="F28:G29"/>
    <mergeCell ref="D188:E188"/>
    <mergeCell ref="D178:E178"/>
    <mergeCell ref="F178:G178"/>
    <mergeCell ref="D55:E55"/>
    <mergeCell ref="D52:E52"/>
    <mergeCell ref="B189:C189"/>
    <mergeCell ref="D189:E189"/>
    <mergeCell ref="H189:I189"/>
    <mergeCell ref="J189:K189"/>
    <mergeCell ref="L189:M189"/>
    <mergeCell ref="F183:G189"/>
    <mergeCell ref="B186:C186"/>
    <mergeCell ref="D186:E186"/>
    <mergeCell ref="H186:I186"/>
    <mergeCell ref="J186:K186"/>
    <mergeCell ref="L186:M186"/>
    <mergeCell ref="B187:C187"/>
    <mergeCell ref="D187:E187"/>
    <mergeCell ref="H187:I187"/>
    <mergeCell ref="J187:K187"/>
    <mergeCell ref="L187:M187"/>
    <mergeCell ref="B184:C184"/>
    <mergeCell ref="D184:E184"/>
    <mergeCell ref="H184:I184"/>
    <mergeCell ref="J184:K184"/>
    <mergeCell ref="L184:M184"/>
    <mergeCell ref="B185:C185"/>
    <mergeCell ref="D185:E185"/>
    <mergeCell ref="H185:I185"/>
    <mergeCell ref="B183:C183"/>
    <mergeCell ref="D183:E183"/>
    <mergeCell ref="H183:I183"/>
    <mergeCell ref="J183:K183"/>
    <mergeCell ref="L183:M183"/>
    <mergeCell ref="D180:E181"/>
    <mergeCell ref="F180:G181"/>
    <mergeCell ref="B179:C182"/>
    <mergeCell ref="J182:K182"/>
    <mergeCell ref="L182:M182"/>
    <mergeCell ref="B171:C171"/>
    <mergeCell ref="D179:G179"/>
    <mergeCell ref="H179:M179"/>
    <mergeCell ref="B169:C169"/>
    <mergeCell ref="D169:E169"/>
    <mergeCell ref="H169:I169"/>
    <mergeCell ref="J169:K169"/>
    <mergeCell ref="L169:M169"/>
    <mergeCell ref="B170:C170"/>
    <mergeCell ref="D170:E170"/>
    <mergeCell ref="H170:I170"/>
    <mergeCell ref="J170:K170"/>
    <mergeCell ref="L170:M170"/>
    <mergeCell ref="F164:G170"/>
    <mergeCell ref="B167:C167"/>
    <mergeCell ref="D167:E167"/>
    <mergeCell ref="H167:I167"/>
    <mergeCell ref="J167:K167"/>
    <mergeCell ref="L167:M167"/>
    <mergeCell ref="B168:C168"/>
    <mergeCell ref="D168:E168"/>
    <mergeCell ref="H168:I168"/>
    <mergeCell ref="J168:K168"/>
    <mergeCell ref="L168:M168"/>
    <mergeCell ref="B165:C165"/>
    <mergeCell ref="D165:E165"/>
    <mergeCell ref="H165:I165"/>
    <mergeCell ref="J165:K165"/>
    <mergeCell ref="L165:M165"/>
    <mergeCell ref="B166:C166"/>
    <mergeCell ref="D166:E166"/>
    <mergeCell ref="H166:I166"/>
    <mergeCell ref="J166:K166"/>
    <mergeCell ref="L166:M166"/>
    <mergeCell ref="B164:C164"/>
    <mergeCell ref="D164:E164"/>
    <mergeCell ref="H164:I164"/>
    <mergeCell ref="J164:K164"/>
    <mergeCell ref="L164:M164"/>
    <mergeCell ref="D161:E162"/>
    <mergeCell ref="F161:G162"/>
    <mergeCell ref="B160:C163"/>
    <mergeCell ref="J163:K163"/>
    <mergeCell ref="L163:M163"/>
    <mergeCell ref="D160:G160"/>
    <mergeCell ref="H160:M160"/>
    <mergeCell ref="B150:C150"/>
    <mergeCell ref="D150:E150"/>
    <mergeCell ref="H150:I150"/>
    <mergeCell ref="J150:K150"/>
    <mergeCell ref="L150:M150"/>
    <mergeCell ref="B151:C151"/>
    <mergeCell ref="D151:E151"/>
    <mergeCell ref="H151:I151"/>
    <mergeCell ref="J151:K151"/>
    <mergeCell ref="L151:M151"/>
    <mergeCell ref="F145:G151"/>
    <mergeCell ref="B148:C148"/>
    <mergeCell ref="D148:E148"/>
    <mergeCell ref="H148:I148"/>
    <mergeCell ref="J148:K148"/>
    <mergeCell ref="L148:M148"/>
    <mergeCell ref="B149:C149"/>
    <mergeCell ref="D149:E149"/>
    <mergeCell ref="H149:I149"/>
    <mergeCell ref="J149:K149"/>
    <mergeCell ref="L149:M149"/>
    <mergeCell ref="D146:E146"/>
    <mergeCell ref="H146:I146"/>
    <mergeCell ref="J146:K146"/>
    <mergeCell ref="B147:C147"/>
    <mergeCell ref="D147:E147"/>
    <mergeCell ref="H147:I147"/>
    <mergeCell ref="J147:K147"/>
    <mergeCell ref="L147:M147"/>
    <mergeCell ref="H142:I142"/>
    <mergeCell ref="J142:K142"/>
    <mergeCell ref="L142:M142"/>
    <mergeCell ref="B145:C145"/>
    <mergeCell ref="D145:E145"/>
    <mergeCell ref="H145:I145"/>
    <mergeCell ref="J145:K145"/>
    <mergeCell ref="L145:M145"/>
    <mergeCell ref="D142:E143"/>
    <mergeCell ref="F142:G143"/>
    <mergeCell ref="B141:C144"/>
    <mergeCell ref="J144:K144"/>
    <mergeCell ref="L144:M144"/>
    <mergeCell ref="D141:G141"/>
    <mergeCell ref="H141:M141"/>
    <mergeCell ref="D131:E131"/>
    <mergeCell ref="H131:I131"/>
    <mergeCell ref="J131:K131"/>
    <mergeCell ref="L131:M131"/>
    <mergeCell ref="B132:C132"/>
    <mergeCell ref="D132:E132"/>
    <mergeCell ref="H132:I132"/>
    <mergeCell ref="J132:K132"/>
    <mergeCell ref="L132:M132"/>
    <mergeCell ref="F126:G132"/>
    <mergeCell ref="B129:C129"/>
    <mergeCell ref="D129:E129"/>
    <mergeCell ref="H129:I129"/>
    <mergeCell ref="J129:K129"/>
    <mergeCell ref="L129:M129"/>
    <mergeCell ref="B130:C130"/>
    <mergeCell ref="D130:E130"/>
    <mergeCell ref="H130:I130"/>
    <mergeCell ref="J130:K130"/>
    <mergeCell ref="L130:M130"/>
    <mergeCell ref="D127:E127"/>
    <mergeCell ref="H127:I127"/>
    <mergeCell ref="J127:K127"/>
    <mergeCell ref="D128:E128"/>
    <mergeCell ref="J123:K123"/>
    <mergeCell ref="L123:M123"/>
    <mergeCell ref="B126:C126"/>
    <mergeCell ref="D126:E126"/>
    <mergeCell ref="H126:I126"/>
    <mergeCell ref="J126:K126"/>
    <mergeCell ref="L126:M126"/>
    <mergeCell ref="D123:E124"/>
    <mergeCell ref="F123:G124"/>
    <mergeCell ref="B122:C125"/>
    <mergeCell ref="J125:K125"/>
    <mergeCell ref="L125:M125"/>
    <mergeCell ref="D122:G122"/>
    <mergeCell ref="H122:M122"/>
    <mergeCell ref="D112:E112"/>
    <mergeCell ref="H112:I112"/>
    <mergeCell ref="J112:K112"/>
    <mergeCell ref="L112:M112"/>
    <mergeCell ref="B113:C113"/>
    <mergeCell ref="D113:E113"/>
    <mergeCell ref="H113:I113"/>
    <mergeCell ref="J113:K113"/>
    <mergeCell ref="L113:M113"/>
    <mergeCell ref="F107:G113"/>
    <mergeCell ref="B110:C110"/>
    <mergeCell ref="D110:E110"/>
    <mergeCell ref="H110:I110"/>
    <mergeCell ref="J110:K110"/>
    <mergeCell ref="L110:M110"/>
    <mergeCell ref="B111:C111"/>
    <mergeCell ref="D111:E111"/>
    <mergeCell ref="H111:I111"/>
    <mergeCell ref="J111:K111"/>
    <mergeCell ref="L111:M111"/>
    <mergeCell ref="D108:E108"/>
    <mergeCell ref="H108:I108"/>
    <mergeCell ref="J108:K108"/>
    <mergeCell ref="D109:E109"/>
    <mergeCell ref="H109:I109"/>
    <mergeCell ref="J109:K109"/>
    <mergeCell ref="L109:M109"/>
    <mergeCell ref="H104:I104"/>
    <mergeCell ref="J104:K104"/>
    <mergeCell ref="L104:M104"/>
    <mergeCell ref="B107:C107"/>
    <mergeCell ref="D107:E107"/>
    <mergeCell ref="H107:I107"/>
    <mergeCell ref="J107:K107"/>
    <mergeCell ref="L107:M107"/>
    <mergeCell ref="D104:E105"/>
    <mergeCell ref="F104:G105"/>
    <mergeCell ref="B103:C106"/>
    <mergeCell ref="J106:K106"/>
    <mergeCell ref="L106:M106"/>
    <mergeCell ref="D103:G103"/>
    <mergeCell ref="H103:M103"/>
    <mergeCell ref="D93:E93"/>
    <mergeCell ref="H93:I93"/>
    <mergeCell ref="J93:K93"/>
    <mergeCell ref="L93:M93"/>
    <mergeCell ref="B94:C94"/>
    <mergeCell ref="D94:E94"/>
    <mergeCell ref="H94:I94"/>
    <mergeCell ref="J94:K94"/>
    <mergeCell ref="L94:M94"/>
    <mergeCell ref="F88:G94"/>
    <mergeCell ref="B91:C91"/>
    <mergeCell ref="D91:E91"/>
    <mergeCell ref="H91:I91"/>
    <mergeCell ref="J91:K91"/>
    <mergeCell ref="L91:M91"/>
    <mergeCell ref="B92:C92"/>
    <mergeCell ref="D92:E92"/>
    <mergeCell ref="H92:I92"/>
    <mergeCell ref="J92:K92"/>
    <mergeCell ref="L92:M92"/>
    <mergeCell ref="D89:E89"/>
    <mergeCell ref="H89:I89"/>
    <mergeCell ref="J89:K89"/>
    <mergeCell ref="D90:E90"/>
    <mergeCell ref="H90:I90"/>
    <mergeCell ref="J90:K90"/>
    <mergeCell ref="L90:M90"/>
    <mergeCell ref="H85:I85"/>
    <mergeCell ref="J85:K85"/>
    <mergeCell ref="L85:M85"/>
    <mergeCell ref="B88:C88"/>
    <mergeCell ref="D88:E88"/>
    <mergeCell ref="H88:I88"/>
    <mergeCell ref="J88:K88"/>
    <mergeCell ref="L88:M88"/>
    <mergeCell ref="D85:E86"/>
    <mergeCell ref="F85:G86"/>
    <mergeCell ref="B84:C87"/>
    <mergeCell ref="J87:K87"/>
    <mergeCell ref="L87:M87"/>
    <mergeCell ref="D84:G84"/>
    <mergeCell ref="H84:M84"/>
    <mergeCell ref="D74:E74"/>
    <mergeCell ref="H74:I74"/>
    <mergeCell ref="J74:K74"/>
    <mergeCell ref="L74:M74"/>
    <mergeCell ref="B75:C75"/>
    <mergeCell ref="D75:E75"/>
    <mergeCell ref="H75:I75"/>
    <mergeCell ref="J75:K75"/>
    <mergeCell ref="L75:M75"/>
    <mergeCell ref="F69:G75"/>
    <mergeCell ref="B72:C72"/>
    <mergeCell ref="D72:E72"/>
    <mergeCell ref="H72:I72"/>
    <mergeCell ref="J72:K72"/>
    <mergeCell ref="L72:M72"/>
    <mergeCell ref="B73:C73"/>
    <mergeCell ref="D73:E73"/>
    <mergeCell ref="H73:I73"/>
    <mergeCell ref="J73:K73"/>
    <mergeCell ref="L73:M73"/>
    <mergeCell ref="D70:E70"/>
    <mergeCell ref="H70:I70"/>
    <mergeCell ref="J70:K70"/>
    <mergeCell ref="D71:E71"/>
    <mergeCell ref="H71:I71"/>
    <mergeCell ref="J71:K71"/>
    <mergeCell ref="L71:M71"/>
    <mergeCell ref="H66:I66"/>
    <mergeCell ref="J66:K66"/>
    <mergeCell ref="L66:M66"/>
    <mergeCell ref="B69:C69"/>
    <mergeCell ref="D69:E69"/>
    <mergeCell ref="H69:I69"/>
    <mergeCell ref="J69:K69"/>
    <mergeCell ref="L69:M69"/>
    <mergeCell ref="D66:E67"/>
    <mergeCell ref="F66:G67"/>
    <mergeCell ref="B65:C68"/>
    <mergeCell ref="J68:K68"/>
    <mergeCell ref="L68:M68"/>
    <mergeCell ref="D65:G65"/>
    <mergeCell ref="H65:M65"/>
    <mergeCell ref="J55:K55"/>
    <mergeCell ref="L55:M55"/>
    <mergeCell ref="B56:C56"/>
    <mergeCell ref="D56:E56"/>
    <mergeCell ref="H56:I56"/>
    <mergeCell ref="J56:K56"/>
    <mergeCell ref="L56:M56"/>
    <mergeCell ref="F50:G56"/>
    <mergeCell ref="B53:C53"/>
    <mergeCell ref="D53:E53"/>
    <mergeCell ref="H53:I53"/>
    <mergeCell ref="J53:K53"/>
    <mergeCell ref="L53:M53"/>
    <mergeCell ref="B54:C54"/>
    <mergeCell ref="D54:E54"/>
    <mergeCell ref="H54:I54"/>
    <mergeCell ref="J54:K54"/>
    <mergeCell ref="L54:M54"/>
    <mergeCell ref="D51:E51"/>
    <mergeCell ref="H51:I51"/>
    <mergeCell ref="J51:K51"/>
    <mergeCell ref="L51:M51"/>
    <mergeCell ref="B52:C52"/>
    <mergeCell ref="H52:I52"/>
    <mergeCell ref="L34:M34"/>
    <mergeCell ref="B33:C33"/>
    <mergeCell ref="D33:E33"/>
    <mergeCell ref="J52:K52"/>
    <mergeCell ref="L52:M52"/>
    <mergeCell ref="H47:I47"/>
    <mergeCell ref="J47:K47"/>
    <mergeCell ref="L47:M47"/>
    <mergeCell ref="B50:C50"/>
    <mergeCell ref="D50:E50"/>
    <mergeCell ref="H50:I50"/>
    <mergeCell ref="J50:K50"/>
    <mergeCell ref="L50:M50"/>
    <mergeCell ref="D47:E48"/>
    <mergeCell ref="F47:G48"/>
    <mergeCell ref="B46:C49"/>
    <mergeCell ref="J49:K49"/>
    <mergeCell ref="L49:M49"/>
    <mergeCell ref="D46:G46"/>
    <mergeCell ref="H46:M46"/>
    <mergeCell ref="H31:I31"/>
    <mergeCell ref="J31:K31"/>
    <mergeCell ref="L31:M31"/>
    <mergeCell ref="B38:C38"/>
    <mergeCell ref="B37:C37"/>
    <mergeCell ref="D37:E37"/>
    <mergeCell ref="H37:I37"/>
    <mergeCell ref="J37:K37"/>
    <mergeCell ref="L37:M37"/>
    <mergeCell ref="F31:G37"/>
    <mergeCell ref="B36:C36"/>
    <mergeCell ref="D36:E36"/>
    <mergeCell ref="H36:I36"/>
    <mergeCell ref="J36:K36"/>
    <mergeCell ref="L36:M36"/>
    <mergeCell ref="B35:C35"/>
    <mergeCell ref="D35:E35"/>
    <mergeCell ref="H35:I35"/>
    <mergeCell ref="J35:K35"/>
    <mergeCell ref="L35:M35"/>
    <mergeCell ref="B34:C34"/>
    <mergeCell ref="D34:E34"/>
    <mergeCell ref="H34:I34"/>
    <mergeCell ref="J34:K34"/>
    <mergeCell ref="U4:V4"/>
    <mergeCell ref="U3:X3"/>
    <mergeCell ref="J30:K30"/>
    <mergeCell ref="L30:M30"/>
    <mergeCell ref="H28:I28"/>
    <mergeCell ref="J28:K28"/>
    <mergeCell ref="L28:M28"/>
    <mergeCell ref="U15:Z15"/>
    <mergeCell ref="U11:V11"/>
    <mergeCell ref="U12:V12"/>
    <mergeCell ref="W4:X4"/>
    <mergeCell ref="W5:X5"/>
    <mergeCell ref="W6:X6"/>
    <mergeCell ref="W7:X7"/>
    <mergeCell ref="W8:X8"/>
    <mergeCell ref="W9:X9"/>
    <mergeCell ref="W10:X10"/>
    <mergeCell ref="W11:X11"/>
    <mergeCell ref="O17:S17"/>
    <mergeCell ref="H27:M27"/>
    <mergeCell ref="W12:X12"/>
    <mergeCell ref="U5:V5"/>
    <mergeCell ref="U9:V9"/>
    <mergeCell ref="U10:V10"/>
    <mergeCell ref="B17:C17"/>
    <mergeCell ref="D17:E17"/>
    <mergeCell ref="H17:I17"/>
    <mergeCell ref="J17:K17"/>
    <mergeCell ref="L17:M17"/>
    <mergeCell ref="B18:C18"/>
    <mergeCell ref="D18:E18"/>
    <mergeCell ref="H18:I18"/>
    <mergeCell ref="J18:K18"/>
    <mergeCell ref="L18:M18"/>
    <mergeCell ref="F12:G18"/>
    <mergeCell ref="B15:C15"/>
    <mergeCell ref="D15:E15"/>
    <mergeCell ref="H15:I15"/>
    <mergeCell ref="J15:K15"/>
    <mergeCell ref="L15:M15"/>
    <mergeCell ref="B16:C16"/>
    <mergeCell ref="D16:E16"/>
    <mergeCell ref="H16:I16"/>
    <mergeCell ref="J16:K16"/>
    <mergeCell ref="L16:M16"/>
    <mergeCell ref="B14:C14"/>
    <mergeCell ref="D14:E14"/>
    <mergeCell ref="H14:I14"/>
    <mergeCell ref="J14:K14"/>
    <mergeCell ref="L14:M14"/>
    <mergeCell ref="B12:C12"/>
    <mergeCell ref="D12:E12"/>
    <mergeCell ref="H12:I12"/>
    <mergeCell ref="J12:K12"/>
    <mergeCell ref="L12:M12"/>
    <mergeCell ref="B13:C13"/>
    <mergeCell ref="D13:E13"/>
    <mergeCell ref="H13:I13"/>
    <mergeCell ref="J13:K13"/>
    <mergeCell ref="L13:M13"/>
    <mergeCell ref="O3:S3"/>
    <mergeCell ref="D8:G8"/>
    <mergeCell ref="H8:M8"/>
    <mergeCell ref="H9:I9"/>
    <mergeCell ref="J9:K9"/>
    <mergeCell ref="L9:M9"/>
    <mergeCell ref="B3:M3"/>
    <mergeCell ref="D9:E10"/>
    <mergeCell ref="F9:G10"/>
    <mergeCell ref="B8:C11"/>
    <mergeCell ref="J11:K11"/>
    <mergeCell ref="L11:M11"/>
    <mergeCell ref="E4:G4"/>
    <mergeCell ref="O10:S10"/>
    <mergeCell ref="B195:C197"/>
    <mergeCell ref="B51:C51"/>
    <mergeCell ref="B57:C57"/>
    <mergeCell ref="B70:C70"/>
    <mergeCell ref="B76:C76"/>
    <mergeCell ref="B89:C89"/>
    <mergeCell ref="B95:C95"/>
    <mergeCell ref="B108:C108"/>
    <mergeCell ref="B114:C114"/>
    <mergeCell ref="B127:C127"/>
    <mergeCell ref="B133:C133"/>
    <mergeCell ref="B146:C146"/>
    <mergeCell ref="B152:C152"/>
    <mergeCell ref="B190:C190"/>
    <mergeCell ref="B188:C188"/>
    <mergeCell ref="B55:C55"/>
    <mergeCell ref="B71:C71"/>
    <mergeCell ref="B74:C74"/>
    <mergeCell ref="B90:C90"/>
    <mergeCell ref="B93:C93"/>
    <mergeCell ref="B109:C109"/>
    <mergeCell ref="B112:C112"/>
    <mergeCell ref="B128:C128"/>
    <mergeCell ref="B131:C131"/>
    <mergeCell ref="U19:X19"/>
    <mergeCell ref="B43:C45"/>
    <mergeCell ref="B62:C64"/>
    <mergeCell ref="B81:C83"/>
    <mergeCell ref="B100:C102"/>
    <mergeCell ref="B119:C121"/>
    <mergeCell ref="B138:C140"/>
    <mergeCell ref="B157:C159"/>
    <mergeCell ref="B176:C178"/>
    <mergeCell ref="B24:C26"/>
    <mergeCell ref="B27:C30"/>
    <mergeCell ref="B19:C19"/>
    <mergeCell ref="D27:G27"/>
    <mergeCell ref="D28:E29"/>
    <mergeCell ref="H33:I33"/>
    <mergeCell ref="J33:K33"/>
    <mergeCell ref="L33:M33"/>
    <mergeCell ref="B32:C32"/>
    <mergeCell ref="D32:E32"/>
    <mergeCell ref="H32:I32"/>
    <mergeCell ref="J32:K32"/>
    <mergeCell ref="L32:M32"/>
    <mergeCell ref="B31:C31"/>
    <mergeCell ref="D31:E31"/>
  </mergeCells>
  <dataValidations count="4">
    <dataValidation type="list" allowBlank="1" showInputMessage="1" showErrorMessage="1" sqref="U17:Y17">
      <formula1>"X,"</formula1>
    </dataValidation>
    <dataValidation type="list" allowBlank="1" showInputMessage="1" showErrorMessage="1" sqref="I10 I143 I67 I124 I162 I29 I48 I86 I105 I181">
      <formula1>PLAN_CODE</formula1>
    </dataValidation>
    <dataValidation type="list" allowBlank="1" showInputMessage="1" showErrorMessage="1" sqref="I11 I144 I163 I30 I49 I68 I87 I106 I125 I182">
      <formula1>"Traditional,Select,Vivity,Priority Select"</formula1>
    </dataValidation>
    <dataValidation type="list" allowBlank="1" showInputMessage="1" showErrorMessage="1" sqref="E4">
      <formula1>"1,2,3,4,5,6,7,8,9,10"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B7"/>
  <sheetViews>
    <sheetView workbookViewId="0">
      <selection activeCell="B2" sqref="B2"/>
    </sheetView>
  </sheetViews>
  <sheetFormatPr baseColWidth="10" defaultColWidth="8.83203125" defaultRowHeight="15" x14ac:dyDescent="0.2"/>
  <sheetData>
    <row r="1" spans="1:2" x14ac:dyDescent="0.2">
      <c r="A1" s="578" t="s">
        <v>1851</v>
      </c>
      <c r="B1" s="576">
        <f>'EXHIBIT 4 TIER'!L6</f>
        <v>0</v>
      </c>
    </row>
    <row r="2" spans="1:2" x14ac:dyDescent="0.2">
      <c r="A2" s="578" t="s">
        <v>602</v>
      </c>
      <c r="B2" s="576">
        <f>'EXHIBIT 4 TIER'!F6</f>
        <v>0.05</v>
      </c>
    </row>
    <row r="3" spans="1:2" x14ac:dyDescent="0.2">
      <c r="A3" s="578" t="s">
        <v>577</v>
      </c>
      <c r="B3" s="576">
        <f>'EXHIBIT 4 TIER'!H6</f>
        <v>0.25</v>
      </c>
    </row>
    <row r="4" spans="1:2" x14ac:dyDescent="0.2">
      <c r="A4" s="578" t="s">
        <v>1849</v>
      </c>
      <c r="B4" s="576">
        <f>'EXHIBIT 4 TIER'!J6</f>
        <v>0</v>
      </c>
    </row>
    <row r="5" spans="1:2" x14ac:dyDescent="0.2">
      <c r="A5" s="578"/>
    </row>
    <row r="6" spans="1:2" x14ac:dyDescent="0.2">
      <c r="A6" s="578"/>
    </row>
    <row r="7" spans="1:2" x14ac:dyDescent="0.2">
      <c r="A7" s="57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workbookViewId="0">
      <pane xSplit="1" ySplit="1" topLeftCell="B2" activePane="bottomRight" state="frozen"/>
      <selection pane="topRight" activeCell="B1" sqref="B1"/>
      <selection pane="bottomLeft" activeCell="A2" sqref="A2"/>
      <selection pane="bottomRight" activeCell="B3" sqref="B3"/>
    </sheetView>
  </sheetViews>
  <sheetFormatPr baseColWidth="10" defaultColWidth="9.1640625" defaultRowHeight="14" x14ac:dyDescent="0.2"/>
  <cols>
    <col min="1" max="1" width="9.6640625" style="260"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3" customFormat="1" ht="26" customHeight="1" x14ac:dyDescent="0.2">
      <c r="A1" s="212" t="s">
        <v>79</v>
      </c>
      <c r="B1" s="212" t="s">
        <v>1875</v>
      </c>
      <c r="C1" s="212" t="s">
        <v>1728</v>
      </c>
      <c r="D1" s="212" t="s">
        <v>85</v>
      </c>
      <c r="E1" s="212" t="s">
        <v>87</v>
      </c>
      <c r="F1" s="212" t="s">
        <v>89</v>
      </c>
      <c r="G1" s="212" t="s">
        <v>91</v>
      </c>
      <c r="H1" s="212" t="s">
        <v>1730</v>
      </c>
    </row>
    <row r="2" spans="1:8" s="214" customFormat="1" x14ac:dyDescent="0.2">
      <c r="A2" s="270"/>
      <c r="B2" s="283" t="s">
        <v>123</v>
      </c>
      <c r="C2" s="271"/>
      <c r="D2" s="270"/>
      <c r="E2" s="271"/>
      <c r="F2" s="270"/>
      <c r="G2" s="270"/>
      <c r="H2" s="270"/>
    </row>
    <row r="3" spans="1:8" ht="13.25" customHeight="1" x14ac:dyDescent="0.2">
      <c r="A3" s="260" t="s">
        <v>124</v>
      </c>
      <c r="B3" s="81" t="s">
        <v>125</v>
      </c>
      <c r="C3" s="215">
        <v>0</v>
      </c>
      <c r="D3" s="81" t="s">
        <v>126</v>
      </c>
      <c r="E3" s="83">
        <v>10</v>
      </c>
      <c r="F3" s="81" t="s">
        <v>127</v>
      </c>
      <c r="G3" s="81" t="s">
        <v>127</v>
      </c>
      <c r="H3" s="76" t="s">
        <v>128</v>
      </c>
    </row>
    <row r="4" spans="1:8" ht="13.25" customHeight="1" x14ac:dyDescent="0.2">
      <c r="A4" s="261" t="s">
        <v>129</v>
      </c>
      <c r="B4" s="216" t="s">
        <v>130</v>
      </c>
      <c r="C4" s="217">
        <v>0</v>
      </c>
      <c r="D4" s="216" t="s">
        <v>126</v>
      </c>
      <c r="E4" s="218">
        <v>15</v>
      </c>
      <c r="F4" s="216" t="s">
        <v>127</v>
      </c>
      <c r="G4" s="216" t="s">
        <v>127</v>
      </c>
      <c r="H4" s="219" t="s">
        <v>128</v>
      </c>
    </row>
    <row r="5" spans="1:8" ht="13.25" customHeight="1" x14ac:dyDescent="0.2">
      <c r="A5" s="260" t="s">
        <v>131</v>
      </c>
      <c r="B5" s="81" t="s">
        <v>132</v>
      </c>
      <c r="C5" s="215">
        <v>0</v>
      </c>
      <c r="D5" s="81" t="s">
        <v>126</v>
      </c>
      <c r="E5" s="83">
        <v>20</v>
      </c>
      <c r="F5" s="81" t="s">
        <v>127</v>
      </c>
      <c r="G5" s="81" t="s">
        <v>127</v>
      </c>
      <c r="H5" s="76" t="s">
        <v>128</v>
      </c>
    </row>
    <row r="6" spans="1:8" ht="13.25" customHeight="1" x14ac:dyDescent="0.2">
      <c r="A6" s="261" t="s">
        <v>133</v>
      </c>
      <c r="B6" s="216" t="s">
        <v>134</v>
      </c>
      <c r="C6" s="217">
        <v>0</v>
      </c>
      <c r="D6" s="216" t="s">
        <v>126</v>
      </c>
      <c r="E6" s="218">
        <v>30</v>
      </c>
      <c r="F6" s="216" t="s">
        <v>127</v>
      </c>
      <c r="G6" s="216" t="s">
        <v>127</v>
      </c>
      <c r="H6" s="219" t="s">
        <v>128</v>
      </c>
    </row>
    <row r="7" spans="1:8" x14ac:dyDescent="0.2">
      <c r="A7" s="270"/>
      <c r="B7" s="283" t="s">
        <v>1878</v>
      </c>
      <c r="C7" s="272"/>
      <c r="D7" s="273" t="s">
        <v>115</v>
      </c>
      <c r="E7" s="274"/>
      <c r="F7" s="273" t="s">
        <v>115</v>
      </c>
      <c r="G7" s="273" t="s">
        <v>115</v>
      </c>
      <c r="H7" s="273" t="s">
        <v>115</v>
      </c>
    </row>
    <row r="8" spans="1:8" ht="13.25" customHeight="1" x14ac:dyDescent="0.2">
      <c r="A8" s="261" t="s">
        <v>135</v>
      </c>
      <c r="B8" s="219" t="s">
        <v>136</v>
      </c>
      <c r="C8" s="217">
        <v>0</v>
      </c>
      <c r="D8" s="216" t="s">
        <v>137</v>
      </c>
      <c r="E8" s="218" t="s">
        <v>138</v>
      </c>
      <c r="F8" s="216" t="s">
        <v>139</v>
      </c>
      <c r="G8" s="216" t="s">
        <v>140</v>
      </c>
      <c r="H8" s="219" t="s">
        <v>141</v>
      </c>
    </row>
    <row r="9" spans="1:8" ht="13.25" customHeight="1" x14ac:dyDescent="0.2">
      <c r="A9" s="260" t="s">
        <v>142</v>
      </c>
      <c r="B9" s="76" t="s">
        <v>143</v>
      </c>
      <c r="C9" s="215">
        <v>0</v>
      </c>
      <c r="D9" s="81" t="s">
        <v>137</v>
      </c>
      <c r="E9" s="83" t="s">
        <v>144</v>
      </c>
      <c r="F9" s="81" t="s">
        <v>139</v>
      </c>
      <c r="G9" s="81" t="s">
        <v>140</v>
      </c>
      <c r="H9" s="76" t="s">
        <v>141</v>
      </c>
    </row>
    <row r="10" spans="1:8" ht="13.25" customHeight="1" x14ac:dyDescent="0.2">
      <c r="A10" s="261" t="s">
        <v>145</v>
      </c>
      <c r="B10" s="219" t="s">
        <v>146</v>
      </c>
      <c r="C10" s="217">
        <v>0</v>
      </c>
      <c r="D10" s="216" t="s">
        <v>147</v>
      </c>
      <c r="E10" s="218" t="s">
        <v>148</v>
      </c>
      <c r="F10" s="216" t="s">
        <v>149</v>
      </c>
      <c r="G10" s="216" t="s">
        <v>139</v>
      </c>
      <c r="H10" s="219" t="s">
        <v>141</v>
      </c>
    </row>
    <row r="11" spans="1:8" ht="13.25" customHeight="1" x14ac:dyDescent="0.2">
      <c r="A11" s="260" t="s">
        <v>150</v>
      </c>
      <c r="B11" s="76" t="s">
        <v>151</v>
      </c>
      <c r="C11" s="215">
        <v>0</v>
      </c>
      <c r="D11" s="81" t="s">
        <v>147</v>
      </c>
      <c r="E11" s="83" t="s">
        <v>152</v>
      </c>
      <c r="F11" s="81" t="s">
        <v>153</v>
      </c>
      <c r="G11" s="81" t="s">
        <v>154</v>
      </c>
      <c r="H11" s="76" t="s">
        <v>141</v>
      </c>
    </row>
    <row r="12" spans="1:8" x14ac:dyDescent="0.2">
      <c r="A12" s="270"/>
      <c r="B12" s="283" t="s">
        <v>1877</v>
      </c>
      <c r="C12" s="272"/>
      <c r="D12" s="273" t="s">
        <v>115</v>
      </c>
      <c r="E12" s="615"/>
      <c r="F12" s="273" t="s">
        <v>115</v>
      </c>
      <c r="G12" s="273" t="s">
        <v>115</v>
      </c>
      <c r="H12" s="273" t="s">
        <v>115</v>
      </c>
    </row>
    <row r="13" spans="1:8" ht="13.25" customHeight="1" x14ac:dyDescent="0.2">
      <c r="A13" s="260" t="s">
        <v>155</v>
      </c>
      <c r="B13" s="76" t="s">
        <v>156</v>
      </c>
      <c r="C13" s="215">
        <v>0</v>
      </c>
      <c r="D13" s="81" t="s">
        <v>147</v>
      </c>
      <c r="E13" s="82" t="s">
        <v>144</v>
      </c>
      <c r="F13" s="81" t="s">
        <v>157</v>
      </c>
      <c r="G13" s="81" t="s">
        <v>140</v>
      </c>
      <c r="H13" s="76" t="s">
        <v>158</v>
      </c>
    </row>
    <row r="14" spans="1:8" ht="13.25" customHeight="1" x14ac:dyDescent="0.2">
      <c r="A14" s="261" t="s">
        <v>159</v>
      </c>
      <c r="B14" s="219" t="s">
        <v>160</v>
      </c>
      <c r="C14" s="217">
        <v>0</v>
      </c>
      <c r="D14" s="216" t="s">
        <v>161</v>
      </c>
      <c r="E14" s="220" t="s">
        <v>144</v>
      </c>
      <c r="F14" s="216" t="s">
        <v>157</v>
      </c>
      <c r="G14" s="216" t="s">
        <v>162</v>
      </c>
      <c r="H14" s="219" t="s">
        <v>158</v>
      </c>
    </row>
    <row r="15" spans="1:8" ht="13.25" customHeight="1" x14ac:dyDescent="0.2">
      <c r="A15" s="260" t="s">
        <v>163</v>
      </c>
      <c r="B15" s="76" t="s">
        <v>164</v>
      </c>
      <c r="C15" s="215">
        <v>0</v>
      </c>
      <c r="D15" s="81" t="s">
        <v>161</v>
      </c>
      <c r="E15" s="83" t="s">
        <v>148</v>
      </c>
      <c r="F15" s="81" t="s">
        <v>165</v>
      </c>
      <c r="G15" s="81" t="s">
        <v>139</v>
      </c>
      <c r="H15" s="76" t="s">
        <v>158</v>
      </c>
    </row>
    <row r="16" spans="1:8" ht="13.25" customHeight="1" x14ac:dyDescent="0.2">
      <c r="A16" s="261" t="s">
        <v>166</v>
      </c>
      <c r="B16" s="219" t="s">
        <v>167</v>
      </c>
      <c r="C16" s="217">
        <v>0</v>
      </c>
      <c r="D16" s="216" t="s">
        <v>161</v>
      </c>
      <c r="E16" s="218" t="s">
        <v>148</v>
      </c>
      <c r="F16" s="216" t="s">
        <v>165</v>
      </c>
      <c r="G16" s="216" t="s">
        <v>162</v>
      </c>
      <c r="H16" s="219" t="s">
        <v>158</v>
      </c>
    </row>
    <row r="17" spans="1:8" ht="13.25" customHeight="1" x14ac:dyDescent="0.2">
      <c r="A17" s="260" t="s">
        <v>168</v>
      </c>
      <c r="B17" s="76" t="s">
        <v>169</v>
      </c>
      <c r="C17" s="215">
        <v>0</v>
      </c>
      <c r="D17" s="81" t="s">
        <v>170</v>
      </c>
      <c r="E17" s="83" t="s">
        <v>152</v>
      </c>
      <c r="F17" s="81" t="s">
        <v>171</v>
      </c>
      <c r="G17" s="81" t="s">
        <v>154</v>
      </c>
      <c r="H17" s="76" t="s">
        <v>172</v>
      </c>
    </row>
    <row r="18" spans="1:8" x14ac:dyDescent="0.2">
      <c r="A18" s="270"/>
      <c r="B18" s="283" t="s">
        <v>1879</v>
      </c>
      <c r="C18" s="275"/>
      <c r="D18" s="273"/>
      <c r="E18" s="615"/>
      <c r="F18" s="273"/>
      <c r="G18" s="276"/>
      <c r="H18" s="273"/>
    </row>
    <row r="19" spans="1:8" ht="13.25" customHeight="1" x14ac:dyDescent="0.2">
      <c r="A19" s="260" t="s">
        <v>173</v>
      </c>
      <c r="B19" s="77" t="s">
        <v>174</v>
      </c>
      <c r="C19" s="215">
        <v>0</v>
      </c>
      <c r="D19" s="81" t="s">
        <v>170</v>
      </c>
      <c r="E19" s="82" t="s">
        <v>175</v>
      </c>
      <c r="F19" s="84" t="s">
        <v>176</v>
      </c>
      <c r="G19" s="84" t="s">
        <v>177</v>
      </c>
      <c r="H19" s="78" t="s">
        <v>178</v>
      </c>
    </row>
    <row r="20" spans="1:8" ht="13.25" customHeight="1" x14ac:dyDescent="0.2">
      <c r="A20" s="261" t="s">
        <v>179</v>
      </c>
      <c r="B20" s="219" t="s">
        <v>180</v>
      </c>
      <c r="C20" s="217">
        <v>0</v>
      </c>
      <c r="D20" s="216" t="s">
        <v>181</v>
      </c>
      <c r="E20" s="220" t="s">
        <v>148</v>
      </c>
      <c r="F20" s="221" t="s">
        <v>182</v>
      </c>
      <c r="G20" s="221" t="s">
        <v>183</v>
      </c>
      <c r="H20" s="219" t="s">
        <v>184</v>
      </c>
    </row>
    <row r="21" spans="1:8" x14ac:dyDescent="0.2">
      <c r="A21" s="270"/>
      <c r="B21" s="283" t="s">
        <v>1880</v>
      </c>
      <c r="C21" s="275"/>
      <c r="D21" s="273"/>
      <c r="E21" s="615"/>
      <c r="F21" s="276"/>
      <c r="G21" s="276"/>
      <c r="H21" s="273"/>
    </row>
    <row r="22" spans="1:8" ht="13.25" customHeight="1" x14ac:dyDescent="0.2">
      <c r="A22" s="261" t="s">
        <v>185</v>
      </c>
      <c r="B22" s="219" t="s">
        <v>186</v>
      </c>
      <c r="C22" s="218">
        <v>250</v>
      </c>
      <c r="D22" s="216" t="s">
        <v>161</v>
      </c>
      <c r="E22" s="218" t="s">
        <v>144</v>
      </c>
      <c r="F22" s="216" t="s">
        <v>187</v>
      </c>
      <c r="G22" s="216" t="s">
        <v>187</v>
      </c>
      <c r="H22" s="219" t="s">
        <v>188</v>
      </c>
    </row>
    <row r="23" spans="1:8" ht="13.25" customHeight="1" x14ac:dyDescent="0.2">
      <c r="A23" s="260" t="s">
        <v>189</v>
      </c>
      <c r="B23" s="77" t="s">
        <v>190</v>
      </c>
      <c r="C23" s="83">
        <v>500</v>
      </c>
      <c r="D23" s="81" t="s">
        <v>161</v>
      </c>
      <c r="E23" s="83" t="s">
        <v>144</v>
      </c>
      <c r="F23" s="84" t="s">
        <v>191</v>
      </c>
      <c r="G23" s="84" t="s">
        <v>191</v>
      </c>
      <c r="H23" s="77" t="s">
        <v>188</v>
      </c>
    </row>
    <row r="24" spans="1:8" ht="13.25" customHeight="1" x14ac:dyDescent="0.2">
      <c r="A24" s="261" t="s">
        <v>192</v>
      </c>
      <c r="B24" s="219" t="s">
        <v>193</v>
      </c>
      <c r="C24" s="218">
        <v>750</v>
      </c>
      <c r="D24" s="216" t="s">
        <v>161</v>
      </c>
      <c r="E24" s="218" t="s">
        <v>194</v>
      </c>
      <c r="F24" s="221" t="s">
        <v>195</v>
      </c>
      <c r="G24" s="221" t="s">
        <v>195</v>
      </c>
      <c r="H24" s="219" t="s">
        <v>188</v>
      </c>
    </row>
    <row r="25" spans="1:8" ht="13.25" customHeight="1" x14ac:dyDescent="0.2">
      <c r="A25" s="260" t="s">
        <v>196</v>
      </c>
      <c r="B25" s="77" t="s">
        <v>197</v>
      </c>
      <c r="C25" s="83">
        <v>1500</v>
      </c>
      <c r="D25" s="81" t="s">
        <v>170</v>
      </c>
      <c r="E25" s="83" t="s">
        <v>198</v>
      </c>
      <c r="F25" s="84" t="s">
        <v>195</v>
      </c>
      <c r="G25" s="84" t="s">
        <v>195</v>
      </c>
      <c r="H25" s="77" t="s">
        <v>202</v>
      </c>
    </row>
    <row r="26" spans="1:8" ht="13.25" customHeight="1" x14ac:dyDescent="0.2">
      <c r="A26" s="261" t="s">
        <v>199</v>
      </c>
      <c r="B26" s="219" t="s">
        <v>200</v>
      </c>
      <c r="C26" s="218">
        <v>2000</v>
      </c>
      <c r="D26" s="216" t="s">
        <v>170</v>
      </c>
      <c r="E26" s="220" t="s">
        <v>201</v>
      </c>
      <c r="F26" s="221" t="s">
        <v>191</v>
      </c>
      <c r="G26" s="221" t="s">
        <v>191</v>
      </c>
      <c r="H26" s="219" t="s">
        <v>202</v>
      </c>
    </row>
    <row r="27" spans="1:8" x14ac:dyDescent="0.2">
      <c r="A27" s="277"/>
      <c r="B27" s="283" t="s">
        <v>1881</v>
      </c>
      <c r="C27" s="272"/>
      <c r="D27" s="278"/>
      <c r="E27" s="279"/>
      <c r="F27" s="280" t="s">
        <v>115</v>
      </c>
      <c r="G27" s="280" t="s">
        <v>115</v>
      </c>
      <c r="H27" s="280" t="s">
        <v>115</v>
      </c>
    </row>
    <row r="28" spans="1:8" ht="13.25" customHeight="1" x14ac:dyDescent="0.2">
      <c r="A28" s="262" t="s">
        <v>203</v>
      </c>
      <c r="B28" s="219" t="s">
        <v>204</v>
      </c>
      <c r="C28" s="217">
        <v>0</v>
      </c>
      <c r="D28" s="216" t="s">
        <v>147</v>
      </c>
      <c r="E28" s="222" t="s">
        <v>205</v>
      </c>
      <c r="F28" s="216" t="s">
        <v>139</v>
      </c>
      <c r="G28" s="216" t="s">
        <v>140</v>
      </c>
      <c r="H28" s="219" t="s">
        <v>206</v>
      </c>
    </row>
    <row r="29" spans="1:8" ht="13.25" customHeight="1" x14ac:dyDescent="0.2">
      <c r="A29" s="263" t="s">
        <v>207</v>
      </c>
      <c r="B29" s="77" t="s">
        <v>208</v>
      </c>
      <c r="C29" s="83">
        <v>0</v>
      </c>
      <c r="D29" s="81" t="s">
        <v>209</v>
      </c>
      <c r="E29" s="223" t="s">
        <v>210</v>
      </c>
      <c r="F29" s="81" t="s">
        <v>165</v>
      </c>
      <c r="G29" s="81" t="s">
        <v>139</v>
      </c>
      <c r="H29" s="77" t="s">
        <v>206</v>
      </c>
    </row>
    <row r="30" spans="1:8" x14ac:dyDescent="0.2">
      <c r="A30" s="270"/>
      <c r="B30" s="283" t="s">
        <v>1882</v>
      </c>
      <c r="C30" s="274"/>
      <c r="D30" s="273" t="s">
        <v>115</v>
      </c>
      <c r="E30" s="274" t="s">
        <v>115</v>
      </c>
      <c r="F30" s="276" t="s">
        <v>115</v>
      </c>
      <c r="G30" s="276" t="s">
        <v>115</v>
      </c>
      <c r="H30" s="273" t="s">
        <v>115</v>
      </c>
    </row>
    <row r="31" spans="1:8" ht="13.25" customHeight="1" x14ac:dyDescent="0.2">
      <c r="A31" s="260" t="s">
        <v>211</v>
      </c>
      <c r="B31" s="77" t="s">
        <v>212</v>
      </c>
      <c r="C31" s="83">
        <v>1500</v>
      </c>
      <c r="D31" s="81" t="s">
        <v>213</v>
      </c>
      <c r="E31" s="83" t="s">
        <v>214</v>
      </c>
      <c r="F31" s="81" t="s">
        <v>215</v>
      </c>
      <c r="G31" s="81" t="s">
        <v>215</v>
      </c>
      <c r="H31" s="77" t="s">
        <v>216</v>
      </c>
    </row>
    <row r="32" spans="1:8" ht="13.25" customHeight="1" x14ac:dyDescent="0.2">
      <c r="A32" s="261" t="s">
        <v>217</v>
      </c>
      <c r="B32" s="219" t="s">
        <v>218</v>
      </c>
      <c r="C32" s="218">
        <v>3000</v>
      </c>
      <c r="D32" s="216" t="s">
        <v>213</v>
      </c>
      <c r="E32" s="218" t="s">
        <v>219</v>
      </c>
      <c r="F32" s="216" t="s">
        <v>191</v>
      </c>
      <c r="G32" s="216" t="s">
        <v>191</v>
      </c>
      <c r="H32" s="219" t="s">
        <v>216</v>
      </c>
    </row>
    <row r="33" spans="1:8" ht="13.25" customHeight="1" x14ac:dyDescent="0.2">
      <c r="A33" s="260" t="s">
        <v>220</v>
      </c>
      <c r="B33" s="77" t="s">
        <v>221</v>
      </c>
      <c r="C33" s="83">
        <v>5900</v>
      </c>
      <c r="D33" s="81" t="s">
        <v>213</v>
      </c>
      <c r="E33" s="83" t="s">
        <v>222</v>
      </c>
      <c r="F33" s="81" t="s">
        <v>215</v>
      </c>
      <c r="G33" s="81" t="s">
        <v>215</v>
      </c>
      <c r="H33" s="77" t="s">
        <v>216</v>
      </c>
    </row>
    <row r="34" spans="1:8" s="224" customFormat="1" x14ac:dyDescent="0.2">
      <c r="A34" s="270"/>
      <c r="B34" s="283" t="s">
        <v>223</v>
      </c>
      <c r="C34" s="274" t="s">
        <v>115</v>
      </c>
      <c r="D34" s="273" t="s">
        <v>115</v>
      </c>
      <c r="E34" s="274" t="s">
        <v>115</v>
      </c>
      <c r="F34" s="276" t="s">
        <v>115</v>
      </c>
      <c r="G34" s="276" t="s">
        <v>115</v>
      </c>
      <c r="H34" s="273" t="s">
        <v>115</v>
      </c>
    </row>
    <row r="35" spans="1:8" s="224" customFormat="1" ht="13.25" customHeight="1" x14ac:dyDescent="0.2">
      <c r="A35" s="264" t="s">
        <v>224</v>
      </c>
      <c r="B35" s="265" t="s">
        <v>1729</v>
      </c>
      <c r="C35" s="266" t="s">
        <v>225</v>
      </c>
      <c r="D35" s="265" t="s">
        <v>147</v>
      </c>
      <c r="E35" s="267">
        <v>20</v>
      </c>
      <c r="F35" s="268">
        <v>0.1</v>
      </c>
      <c r="G35" s="268">
        <v>0.3</v>
      </c>
      <c r="H35" s="269" t="s">
        <v>226</v>
      </c>
    </row>
    <row r="36" spans="1:8" s="224" customFormat="1" x14ac:dyDescent="0.2">
      <c r="A36" s="270"/>
      <c r="B36" s="283" t="s">
        <v>227</v>
      </c>
      <c r="C36" s="281" t="s">
        <v>1876</v>
      </c>
      <c r="D36" s="273" t="s">
        <v>115</v>
      </c>
      <c r="E36" s="274" t="s">
        <v>115</v>
      </c>
      <c r="F36" s="276" t="s">
        <v>115</v>
      </c>
      <c r="G36" s="276" t="s">
        <v>115</v>
      </c>
      <c r="H36" s="273" t="s">
        <v>115</v>
      </c>
    </row>
    <row r="37" spans="1:8" ht="13.25" customHeight="1" x14ac:dyDescent="0.2">
      <c r="A37" s="261" t="s">
        <v>228</v>
      </c>
      <c r="B37" s="216" t="s">
        <v>229</v>
      </c>
      <c r="C37" s="217" t="s">
        <v>230</v>
      </c>
      <c r="D37" s="216" t="s">
        <v>137</v>
      </c>
      <c r="E37" s="218">
        <v>10</v>
      </c>
      <c r="F37" s="221">
        <v>0.1</v>
      </c>
      <c r="G37" s="221">
        <v>0.3</v>
      </c>
      <c r="H37" s="219" t="s">
        <v>231</v>
      </c>
    </row>
    <row r="38" spans="1:8" ht="13.25" customHeight="1" x14ac:dyDescent="0.2">
      <c r="A38" s="260" t="s">
        <v>232</v>
      </c>
      <c r="B38" s="81" t="s">
        <v>233</v>
      </c>
      <c r="C38" s="215" t="s">
        <v>225</v>
      </c>
      <c r="D38" s="81" t="s">
        <v>147</v>
      </c>
      <c r="E38" s="83">
        <v>15</v>
      </c>
      <c r="F38" s="84">
        <v>0.1</v>
      </c>
      <c r="G38" s="84">
        <v>0.3</v>
      </c>
      <c r="H38" s="77" t="s">
        <v>231</v>
      </c>
    </row>
    <row r="39" spans="1:8" ht="13.25" customHeight="1" x14ac:dyDescent="0.2">
      <c r="A39" s="261" t="s">
        <v>234</v>
      </c>
      <c r="B39" s="216" t="s">
        <v>235</v>
      </c>
      <c r="C39" s="217" t="s">
        <v>225</v>
      </c>
      <c r="D39" s="216" t="s">
        <v>170</v>
      </c>
      <c r="E39" s="218">
        <v>20</v>
      </c>
      <c r="F39" s="221">
        <v>0.2</v>
      </c>
      <c r="G39" s="221">
        <v>0.4</v>
      </c>
      <c r="H39" s="219" t="s">
        <v>231</v>
      </c>
    </row>
    <row r="40" spans="1:8" ht="13.25" customHeight="1" x14ac:dyDescent="0.2">
      <c r="A40" s="260" t="s">
        <v>236</v>
      </c>
      <c r="B40" s="81" t="s">
        <v>237</v>
      </c>
      <c r="C40" s="82" t="s">
        <v>238</v>
      </c>
      <c r="D40" s="81" t="s">
        <v>170</v>
      </c>
      <c r="E40" s="83">
        <v>20</v>
      </c>
      <c r="F40" s="84">
        <v>0.2</v>
      </c>
      <c r="G40" s="84">
        <v>0.4</v>
      </c>
      <c r="H40" s="77" t="s">
        <v>231</v>
      </c>
    </row>
    <row r="41" spans="1:8" s="224" customFormat="1" x14ac:dyDescent="0.2">
      <c r="A41" s="270"/>
      <c r="B41" s="283" t="s">
        <v>239</v>
      </c>
      <c r="C41" s="281" t="s">
        <v>1876</v>
      </c>
      <c r="D41" s="273" t="s">
        <v>115</v>
      </c>
      <c r="E41" s="274" t="s">
        <v>115</v>
      </c>
      <c r="F41" s="276" t="s">
        <v>115</v>
      </c>
      <c r="G41" s="276" t="s">
        <v>115</v>
      </c>
      <c r="H41" s="273" t="s">
        <v>115</v>
      </c>
    </row>
    <row r="42" spans="1:8" s="224" customFormat="1" ht="13.25" customHeight="1" x14ac:dyDescent="0.2">
      <c r="A42" s="260" t="s">
        <v>240</v>
      </c>
      <c r="B42" s="81" t="s">
        <v>241</v>
      </c>
      <c r="C42" s="215" t="s">
        <v>242</v>
      </c>
      <c r="D42" s="81" t="s">
        <v>147</v>
      </c>
      <c r="E42" s="83">
        <v>20</v>
      </c>
      <c r="F42" s="84">
        <v>0.1</v>
      </c>
      <c r="G42" s="84">
        <v>0.3</v>
      </c>
      <c r="H42" s="77" t="s">
        <v>141</v>
      </c>
    </row>
    <row r="43" spans="1:8" s="224" customFormat="1" ht="13.25" customHeight="1" x14ac:dyDescent="0.2">
      <c r="A43" s="261" t="s">
        <v>243</v>
      </c>
      <c r="B43" s="216" t="s">
        <v>244</v>
      </c>
      <c r="C43" s="217" t="s">
        <v>242</v>
      </c>
      <c r="D43" s="216" t="s">
        <v>147</v>
      </c>
      <c r="E43" s="218">
        <v>20</v>
      </c>
      <c r="F43" s="221">
        <v>0.2</v>
      </c>
      <c r="G43" s="221">
        <v>0.4</v>
      </c>
      <c r="H43" s="219" t="s">
        <v>141</v>
      </c>
    </row>
    <row r="44" spans="1:8" s="224" customFormat="1" ht="13.25" customHeight="1" x14ac:dyDescent="0.2">
      <c r="A44" s="260" t="s">
        <v>245</v>
      </c>
      <c r="B44" s="81" t="s">
        <v>246</v>
      </c>
      <c r="C44" s="215" t="s">
        <v>247</v>
      </c>
      <c r="D44" s="81" t="s">
        <v>170</v>
      </c>
      <c r="E44" s="83">
        <v>20</v>
      </c>
      <c r="F44" s="84">
        <v>0.1</v>
      </c>
      <c r="G44" s="84">
        <v>0.3</v>
      </c>
      <c r="H44" s="77" t="s">
        <v>141</v>
      </c>
    </row>
    <row r="45" spans="1:8" ht="13.25" customHeight="1" x14ac:dyDescent="0.2">
      <c r="A45" s="261" t="s">
        <v>248</v>
      </c>
      <c r="B45" s="216" t="s">
        <v>249</v>
      </c>
      <c r="C45" s="217" t="s">
        <v>247</v>
      </c>
      <c r="D45" s="216" t="s">
        <v>170</v>
      </c>
      <c r="E45" s="218">
        <v>20</v>
      </c>
      <c r="F45" s="221">
        <v>0.2</v>
      </c>
      <c r="G45" s="221">
        <v>0.4</v>
      </c>
      <c r="H45" s="219" t="s">
        <v>141</v>
      </c>
    </row>
    <row r="46" spans="1:8" ht="13.25" customHeight="1" x14ac:dyDescent="0.2">
      <c r="A46" s="260" t="s">
        <v>250</v>
      </c>
      <c r="B46" s="81" t="s">
        <v>251</v>
      </c>
      <c r="C46" s="215" t="s">
        <v>247</v>
      </c>
      <c r="D46" s="81" t="s">
        <v>252</v>
      </c>
      <c r="E46" s="83">
        <v>30</v>
      </c>
      <c r="F46" s="84">
        <v>0.2</v>
      </c>
      <c r="G46" s="84">
        <v>0.4</v>
      </c>
      <c r="H46" s="77" t="s">
        <v>141</v>
      </c>
    </row>
    <row r="47" spans="1:8" ht="13.25" customHeight="1" x14ac:dyDescent="0.2">
      <c r="A47" s="261" t="s">
        <v>253</v>
      </c>
      <c r="B47" s="216" t="s">
        <v>254</v>
      </c>
      <c r="C47" s="220" t="s">
        <v>255</v>
      </c>
      <c r="D47" s="216" t="s">
        <v>181</v>
      </c>
      <c r="E47" s="218">
        <v>30</v>
      </c>
      <c r="F47" s="221">
        <v>0.2</v>
      </c>
      <c r="G47" s="221">
        <v>0.4</v>
      </c>
      <c r="H47" s="219" t="s">
        <v>158</v>
      </c>
    </row>
    <row r="48" spans="1:8" ht="13.25" customHeight="1" x14ac:dyDescent="0.2">
      <c r="A48" s="260" t="s">
        <v>256</v>
      </c>
      <c r="B48" s="81" t="s">
        <v>257</v>
      </c>
      <c r="C48" s="82" t="s">
        <v>258</v>
      </c>
      <c r="D48" s="81" t="s">
        <v>181</v>
      </c>
      <c r="E48" s="83">
        <v>35</v>
      </c>
      <c r="F48" s="84">
        <v>0.2</v>
      </c>
      <c r="G48" s="84">
        <v>0.4</v>
      </c>
      <c r="H48" s="77" t="s">
        <v>158</v>
      </c>
    </row>
    <row r="49" spans="1:8" x14ac:dyDescent="0.2">
      <c r="A49" s="270"/>
      <c r="B49" s="283" t="s">
        <v>259</v>
      </c>
      <c r="C49" s="274" t="s">
        <v>115</v>
      </c>
      <c r="D49" s="273" t="s">
        <v>115</v>
      </c>
      <c r="E49" s="274" t="s">
        <v>115</v>
      </c>
      <c r="F49" s="276" t="s">
        <v>115</v>
      </c>
      <c r="G49" s="276" t="s">
        <v>115</v>
      </c>
      <c r="H49" s="273" t="s">
        <v>115</v>
      </c>
    </row>
    <row r="50" spans="1:8" ht="13.25" customHeight="1" x14ac:dyDescent="0.2">
      <c r="A50" s="260" t="s">
        <v>260</v>
      </c>
      <c r="B50" s="81" t="s">
        <v>261</v>
      </c>
      <c r="C50" s="82" t="s">
        <v>262</v>
      </c>
      <c r="D50" s="81" t="s">
        <v>170</v>
      </c>
      <c r="E50" s="83">
        <v>15</v>
      </c>
      <c r="F50" s="84">
        <v>0.2</v>
      </c>
      <c r="G50" s="84">
        <v>0.4</v>
      </c>
      <c r="H50" s="77" t="s">
        <v>178</v>
      </c>
    </row>
    <row r="51" spans="1:8" ht="13.25" customHeight="1" x14ac:dyDescent="0.2">
      <c r="A51" s="261" t="s">
        <v>263</v>
      </c>
      <c r="B51" s="216" t="s">
        <v>264</v>
      </c>
      <c r="C51" s="220" t="s">
        <v>265</v>
      </c>
      <c r="D51" s="216" t="s">
        <v>252</v>
      </c>
      <c r="E51" s="218">
        <v>20</v>
      </c>
      <c r="F51" s="221">
        <v>0.2</v>
      </c>
      <c r="G51" s="221">
        <v>0.4</v>
      </c>
      <c r="H51" s="219" t="s">
        <v>178</v>
      </c>
    </row>
    <row r="52" spans="1:8" ht="13.25" customHeight="1" x14ac:dyDescent="0.2">
      <c r="A52" s="260" t="s">
        <v>266</v>
      </c>
      <c r="B52" s="81" t="s">
        <v>267</v>
      </c>
      <c r="C52" s="82" t="s">
        <v>268</v>
      </c>
      <c r="D52" s="81" t="s">
        <v>269</v>
      </c>
      <c r="E52" s="83">
        <v>25</v>
      </c>
      <c r="F52" s="84">
        <v>0.2</v>
      </c>
      <c r="G52" s="84">
        <v>0.4</v>
      </c>
      <c r="H52" s="77" t="s">
        <v>178</v>
      </c>
    </row>
    <row r="53" spans="1:8" ht="13.25" customHeight="1" x14ac:dyDescent="0.2">
      <c r="A53" s="261" t="s">
        <v>270</v>
      </c>
      <c r="B53" s="216" t="s">
        <v>271</v>
      </c>
      <c r="C53" s="220" t="s">
        <v>272</v>
      </c>
      <c r="D53" s="216" t="s">
        <v>269</v>
      </c>
      <c r="E53" s="218">
        <v>30</v>
      </c>
      <c r="F53" s="221">
        <v>0.3</v>
      </c>
      <c r="G53" s="221">
        <v>0.5</v>
      </c>
      <c r="H53" s="219" t="s">
        <v>178</v>
      </c>
    </row>
    <row r="54" spans="1:8" ht="13.25" customHeight="1" x14ac:dyDescent="0.2">
      <c r="A54" s="260" t="s">
        <v>273</v>
      </c>
      <c r="B54" s="81" t="s">
        <v>274</v>
      </c>
      <c r="C54" s="82" t="s">
        <v>275</v>
      </c>
      <c r="D54" s="81" t="s">
        <v>276</v>
      </c>
      <c r="E54" s="83">
        <v>30</v>
      </c>
      <c r="F54" s="84">
        <v>0.3</v>
      </c>
      <c r="G54" s="84">
        <v>0.5</v>
      </c>
      <c r="H54" s="77" t="s">
        <v>178</v>
      </c>
    </row>
    <row r="55" spans="1:8" x14ac:dyDescent="0.2">
      <c r="A55" s="270"/>
      <c r="B55" s="284" t="s">
        <v>277</v>
      </c>
      <c r="C55" s="274" t="s">
        <v>115</v>
      </c>
      <c r="D55" s="273" t="s">
        <v>115</v>
      </c>
      <c r="E55" s="274" t="s">
        <v>115</v>
      </c>
      <c r="F55" s="276" t="s">
        <v>115</v>
      </c>
      <c r="G55" s="276" t="s">
        <v>115</v>
      </c>
      <c r="H55" s="273" t="s">
        <v>115</v>
      </c>
    </row>
    <row r="56" spans="1:8" ht="13.25" customHeight="1" x14ac:dyDescent="0.2">
      <c r="A56" s="260" t="s">
        <v>278</v>
      </c>
      <c r="B56" s="81" t="s">
        <v>279</v>
      </c>
      <c r="C56" s="83" t="s">
        <v>247</v>
      </c>
      <c r="D56" s="81" t="s">
        <v>170</v>
      </c>
      <c r="E56" s="83">
        <v>20</v>
      </c>
      <c r="F56" s="84">
        <v>0.1</v>
      </c>
      <c r="G56" s="84">
        <v>0.3</v>
      </c>
      <c r="H56" s="77" t="s">
        <v>206</v>
      </c>
    </row>
    <row r="57" spans="1:8" ht="13.25" customHeight="1" x14ac:dyDescent="0.2">
      <c r="A57" s="261" t="s">
        <v>280</v>
      </c>
      <c r="B57" s="216" t="s">
        <v>281</v>
      </c>
      <c r="C57" s="218" t="s">
        <v>268</v>
      </c>
      <c r="D57" s="216" t="s">
        <v>282</v>
      </c>
      <c r="E57" s="218">
        <v>30</v>
      </c>
      <c r="F57" s="221">
        <v>0.3</v>
      </c>
      <c r="G57" s="221">
        <v>0.5</v>
      </c>
      <c r="H57" s="219" t="s">
        <v>206</v>
      </c>
    </row>
    <row r="58" spans="1:8" x14ac:dyDescent="0.2">
      <c r="A58" s="270"/>
      <c r="B58" s="283" t="s">
        <v>283</v>
      </c>
      <c r="C58" s="274" t="s">
        <v>115</v>
      </c>
      <c r="D58" s="273" t="s">
        <v>115</v>
      </c>
      <c r="E58" s="274" t="s">
        <v>115</v>
      </c>
      <c r="F58" s="276" t="s">
        <v>115</v>
      </c>
      <c r="G58" s="276" t="s">
        <v>115</v>
      </c>
      <c r="H58" s="273" t="s">
        <v>115</v>
      </c>
    </row>
    <row r="59" spans="1:8" ht="13.25" customHeight="1" x14ac:dyDescent="0.2">
      <c r="A59" s="261" t="s">
        <v>284</v>
      </c>
      <c r="B59" s="216" t="s">
        <v>285</v>
      </c>
      <c r="C59" s="220" t="s">
        <v>286</v>
      </c>
      <c r="D59" s="216" t="s">
        <v>287</v>
      </c>
      <c r="E59" s="218" t="s">
        <v>288</v>
      </c>
      <c r="F59" s="221" t="s">
        <v>289</v>
      </c>
      <c r="G59" s="221">
        <v>0.5</v>
      </c>
      <c r="H59" s="219" t="s">
        <v>290</v>
      </c>
    </row>
    <row r="60" spans="1:8" ht="13.25" customHeight="1" x14ac:dyDescent="0.2">
      <c r="A60" s="260" t="s">
        <v>291</v>
      </c>
      <c r="B60" s="81" t="s">
        <v>292</v>
      </c>
      <c r="C60" s="82" t="s">
        <v>293</v>
      </c>
      <c r="D60" s="81" t="s">
        <v>287</v>
      </c>
      <c r="E60" s="83" t="s">
        <v>294</v>
      </c>
      <c r="F60" s="84" t="s">
        <v>289</v>
      </c>
      <c r="G60" s="84">
        <v>0.5</v>
      </c>
      <c r="H60" s="77" t="s">
        <v>290</v>
      </c>
    </row>
    <row r="61" spans="1:8" x14ac:dyDescent="0.2">
      <c r="A61" s="270"/>
      <c r="B61" s="283" t="s">
        <v>1884</v>
      </c>
      <c r="C61" s="274"/>
      <c r="D61" s="273"/>
      <c r="E61" s="615"/>
      <c r="F61" s="276"/>
      <c r="G61" s="276"/>
      <c r="H61" s="273"/>
    </row>
    <row r="62" spans="1:8" ht="13.25" customHeight="1" x14ac:dyDescent="0.2">
      <c r="A62" s="260" t="s">
        <v>295</v>
      </c>
      <c r="B62" s="81" t="s">
        <v>296</v>
      </c>
      <c r="C62" s="82" t="s">
        <v>297</v>
      </c>
      <c r="D62" s="81" t="s">
        <v>147</v>
      </c>
      <c r="E62" s="83">
        <v>20</v>
      </c>
      <c r="F62" s="84" t="s">
        <v>289</v>
      </c>
      <c r="G62" s="84">
        <v>0.5</v>
      </c>
      <c r="H62" s="77" t="s">
        <v>141</v>
      </c>
    </row>
    <row r="63" spans="1:8" ht="13.25" customHeight="1" x14ac:dyDescent="0.2">
      <c r="A63" s="261" t="s">
        <v>298</v>
      </c>
      <c r="B63" s="216" t="s">
        <v>299</v>
      </c>
      <c r="C63" s="220" t="s">
        <v>300</v>
      </c>
      <c r="D63" s="216" t="s">
        <v>147</v>
      </c>
      <c r="E63" s="218">
        <v>20</v>
      </c>
      <c r="F63" s="221" t="s">
        <v>289</v>
      </c>
      <c r="G63" s="221">
        <v>0.5</v>
      </c>
      <c r="H63" s="219" t="s">
        <v>141</v>
      </c>
    </row>
    <row r="64" spans="1:8" ht="13.25" customHeight="1" x14ac:dyDescent="0.2">
      <c r="A64" s="260" t="s">
        <v>301</v>
      </c>
      <c r="B64" s="81" t="s">
        <v>302</v>
      </c>
      <c r="C64" s="82" t="s">
        <v>300</v>
      </c>
      <c r="D64" s="81" t="s">
        <v>147</v>
      </c>
      <c r="E64" s="83">
        <v>30</v>
      </c>
      <c r="F64" s="84" t="s">
        <v>289</v>
      </c>
      <c r="G64" s="84">
        <v>0.5</v>
      </c>
      <c r="H64" s="77" t="s">
        <v>141</v>
      </c>
    </row>
    <row r="65" spans="1:8" x14ac:dyDescent="0.2">
      <c r="A65" s="270"/>
      <c r="B65" s="283" t="s">
        <v>1883</v>
      </c>
      <c r="C65" s="274"/>
      <c r="D65" s="273"/>
      <c r="E65" s="615"/>
      <c r="F65" s="276"/>
      <c r="G65" s="276"/>
      <c r="H65" s="273"/>
    </row>
    <row r="66" spans="1:8" ht="13.25" customHeight="1" x14ac:dyDescent="0.2">
      <c r="A66" s="260" t="s">
        <v>303</v>
      </c>
      <c r="B66" s="81" t="s">
        <v>304</v>
      </c>
      <c r="C66" s="82" t="s">
        <v>300</v>
      </c>
      <c r="D66" s="81" t="s">
        <v>181</v>
      </c>
      <c r="E66" s="83">
        <v>30</v>
      </c>
      <c r="F66" s="84">
        <v>0.3</v>
      </c>
      <c r="G66" s="84">
        <v>0.5</v>
      </c>
      <c r="H66" s="77" t="s">
        <v>141</v>
      </c>
    </row>
    <row r="67" spans="1:8" x14ac:dyDescent="0.2">
      <c r="A67" s="270"/>
      <c r="B67" s="283" t="s">
        <v>1885</v>
      </c>
      <c r="C67" s="274"/>
      <c r="D67" s="273"/>
      <c r="E67" s="615"/>
      <c r="F67" s="276"/>
      <c r="G67" s="276"/>
      <c r="H67" s="273"/>
    </row>
    <row r="68" spans="1:8" ht="13.25" customHeight="1" x14ac:dyDescent="0.2">
      <c r="A68" s="260" t="s">
        <v>305</v>
      </c>
      <c r="B68" s="77" t="s">
        <v>306</v>
      </c>
      <c r="C68" s="82" t="s">
        <v>307</v>
      </c>
      <c r="D68" s="81" t="s">
        <v>147</v>
      </c>
      <c r="E68" s="83">
        <v>15</v>
      </c>
      <c r="F68" s="84">
        <v>0.2</v>
      </c>
      <c r="G68" s="84" t="s">
        <v>308</v>
      </c>
      <c r="H68" s="77" t="s">
        <v>141</v>
      </c>
    </row>
    <row r="69" spans="1:8" ht="13.25" customHeight="1" x14ac:dyDescent="0.2">
      <c r="A69" s="261" t="s">
        <v>309</v>
      </c>
      <c r="B69" s="219" t="s">
        <v>310</v>
      </c>
      <c r="C69" s="220" t="s">
        <v>311</v>
      </c>
      <c r="D69" s="216" t="s">
        <v>147</v>
      </c>
      <c r="E69" s="218">
        <v>15</v>
      </c>
      <c r="F69" s="221">
        <v>0.2</v>
      </c>
      <c r="G69" s="221" t="s">
        <v>308</v>
      </c>
      <c r="H69" s="219" t="s">
        <v>178</v>
      </c>
    </row>
    <row r="70" spans="1:8" ht="13.25" customHeight="1" x14ac:dyDescent="0.2">
      <c r="A70" s="260" t="s">
        <v>312</v>
      </c>
      <c r="B70" s="77" t="s">
        <v>313</v>
      </c>
      <c r="C70" s="82" t="s">
        <v>137</v>
      </c>
      <c r="D70" s="81" t="s">
        <v>147</v>
      </c>
      <c r="E70" s="83">
        <v>25</v>
      </c>
      <c r="F70" s="84">
        <v>0.2</v>
      </c>
      <c r="G70" s="84" t="s">
        <v>308</v>
      </c>
      <c r="H70" s="77" t="s">
        <v>178</v>
      </c>
    </row>
    <row r="71" spans="1:8" x14ac:dyDescent="0.2">
      <c r="A71" s="270"/>
      <c r="B71" s="283" t="s">
        <v>314</v>
      </c>
      <c r="C71" s="281" t="s">
        <v>115</v>
      </c>
      <c r="D71" s="615" t="s">
        <v>115</v>
      </c>
      <c r="E71" s="281" t="s">
        <v>115</v>
      </c>
      <c r="F71" s="282" t="s">
        <v>115</v>
      </c>
      <c r="G71" s="282" t="s">
        <v>115</v>
      </c>
      <c r="H71" s="273" t="s">
        <v>115</v>
      </c>
    </row>
    <row r="72" spans="1:8" ht="13.25" customHeight="1" x14ac:dyDescent="0.2">
      <c r="A72" s="260" t="s">
        <v>315</v>
      </c>
      <c r="B72" s="79" t="s">
        <v>1868</v>
      </c>
      <c r="C72" s="77" t="s">
        <v>1869</v>
      </c>
      <c r="D72" s="81" t="s">
        <v>316</v>
      </c>
      <c r="E72" s="80" t="s">
        <v>317</v>
      </c>
      <c r="F72" s="84">
        <v>0.1</v>
      </c>
      <c r="G72" s="84">
        <v>0.3</v>
      </c>
      <c r="H72" s="77" t="s">
        <v>318</v>
      </c>
    </row>
    <row r="73" spans="1:8" ht="13.25" customHeight="1" x14ac:dyDescent="0.2">
      <c r="A73" s="261" t="s">
        <v>319</v>
      </c>
      <c r="B73" s="225" t="s">
        <v>320</v>
      </c>
      <c r="C73" s="219" t="s">
        <v>1870</v>
      </c>
      <c r="D73" s="216" t="s">
        <v>316</v>
      </c>
      <c r="E73" s="226" t="s">
        <v>317</v>
      </c>
      <c r="F73" s="221">
        <v>0.1</v>
      </c>
      <c r="G73" s="221">
        <v>0.3</v>
      </c>
      <c r="H73" s="219" t="s">
        <v>318</v>
      </c>
    </row>
    <row r="74" spans="1:8" ht="13.25" customHeight="1" x14ac:dyDescent="0.2">
      <c r="A74" s="260" t="s">
        <v>321</v>
      </c>
      <c r="B74" s="79" t="s">
        <v>322</v>
      </c>
      <c r="C74" s="77" t="s">
        <v>1870</v>
      </c>
      <c r="D74" s="81" t="s">
        <v>316</v>
      </c>
      <c r="E74" s="80" t="s">
        <v>323</v>
      </c>
      <c r="F74" s="227">
        <v>0.2</v>
      </c>
      <c r="G74" s="84">
        <v>0.4</v>
      </c>
      <c r="H74" s="77" t="s">
        <v>318</v>
      </c>
    </row>
    <row r="75" spans="1:8" ht="13.25" customHeight="1" x14ac:dyDescent="0.2">
      <c r="A75" s="261" t="s">
        <v>324</v>
      </c>
      <c r="B75" s="225" t="s">
        <v>325</v>
      </c>
      <c r="C75" s="219" t="s">
        <v>1871</v>
      </c>
      <c r="D75" s="216" t="s">
        <v>316</v>
      </c>
      <c r="E75" s="226" t="s">
        <v>323</v>
      </c>
      <c r="F75" s="228">
        <v>0.2</v>
      </c>
      <c r="G75" s="221">
        <v>0.4</v>
      </c>
      <c r="H75" s="219" t="s">
        <v>318</v>
      </c>
    </row>
    <row r="76" spans="1:8" ht="13.25" customHeight="1" x14ac:dyDescent="0.2">
      <c r="A76" s="260" t="s">
        <v>326</v>
      </c>
      <c r="B76" s="79" t="s">
        <v>1872</v>
      </c>
      <c r="C76" s="77" t="s">
        <v>345</v>
      </c>
      <c r="D76" s="81" t="s">
        <v>181</v>
      </c>
      <c r="E76" s="80" t="s">
        <v>327</v>
      </c>
      <c r="F76" s="81" t="s">
        <v>289</v>
      </c>
      <c r="G76" s="84">
        <v>0.3</v>
      </c>
      <c r="H76" s="77" t="s">
        <v>328</v>
      </c>
    </row>
    <row r="77" spans="1:8" ht="13.25" customHeight="1" x14ac:dyDescent="0.2">
      <c r="A77" s="261" t="s">
        <v>329</v>
      </c>
      <c r="B77" s="225" t="s">
        <v>1873</v>
      </c>
      <c r="C77" s="219" t="s">
        <v>345</v>
      </c>
      <c r="D77" s="216" t="s">
        <v>181</v>
      </c>
      <c r="E77" s="226" t="s">
        <v>330</v>
      </c>
      <c r="F77" s="228">
        <v>0.2</v>
      </c>
      <c r="G77" s="221">
        <v>0.5</v>
      </c>
      <c r="H77" s="219" t="s">
        <v>328</v>
      </c>
    </row>
    <row r="78" spans="1:8" ht="13.25" customHeight="1" x14ac:dyDescent="0.2">
      <c r="A78" s="260" t="s">
        <v>331</v>
      </c>
      <c r="B78" s="79" t="s">
        <v>332</v>
      </c>
      <c r="C78" s="77" t="s">
        <v>333</v>
      </c>
      <c r="D78" s="81" t="s">
        <v>181</v>
      </c>
      <c r="E78" s="80" t="s">
        <v>323</v>
      </c>
      <c r="F78" s="227">
        <v>0.2</v>
      </c>
      <c r="G78" s="84">
        <v>0.4</v>
      </c>
      <c r="H78" s="77" t="s">
        <v>328</v>
      </c>
    </row>
    <row r="79" spans="1:8" ht="13.25" customHeight="1" x14ac:dyDescent="0.2">
      <c r="A79" s="261" t="s">
        <v>334</v>
      </c>
      <c r="B79" s="225" t="s">
        <v>335</v>
      </c>
      <c r="C79" s="219" t="s">
        <v>272</v>
      </c>
      <c r="D79" s="216" t="s">
        <v>336</v>
      </c>
      <c r="E79" s="226" t="s">
        <v>330</v>
      </c>
      <c r="F79" s="228">
        <v>0.2</v>
      </c>
      <c r="G79" s="221">
        <v>0.5</v>
      </c>
      <c r="H79" s="219" t="s">
        <v>328</v>
      </c>
    </row>
    <row r="80" spans="1:8" ht="13.25" customHeight="1" x14ac:dyDescent="0.2">
      <c r="A80" s="260" t="s">
        <v>337</v>
      </c>
      <c r="B80" s="79" t="s">
        <v>338</v>
      </c>
      <c r="C80" s="77" t="s">
        <v>339</v>
      </c>
      <c r="D80" s="81" t="s">
        <v>336</v>
      </c>
      <c r="E80" s="80" t="s">
        <v>330</v>
      </c>
      <c r="F80" s="227">
        <v>0.2</v>
      </c>
      <c r="G80" s="84">
        <v>0.5</v>
      </c>
      <c r="H80" s="77" t="s">
        <v>328</v>
      </c>
    </row>
    <row r="81" spans="1:8" ht="13.25" customHeight="1" x14ac:dyDescent="0.2">
      <c r="A81" s="261" t="s">
        <v>340</v>
      </c>
      <c r="B81" s="225" t="s">
        <v>341</v>
      </c>
      <c r="C81" s="219" t="s">
        <v>275</v>
      </c>
      <c r="D81" s="216" t="s">
        <v>282</v>
      </c>
      <c r="E81" s="226" t="s">
        <v>330</v>
      </c>
      <c r="F81" s="228">
        <v>0.2</v>
      </c>
      <c r="G81" s="221">
        <v>0.5</v>
      </c>
      <c r="H81" s="219" t="s">
        <v>328</v>
      </c>
    </row>
    <row r="82" spans="1:8" x14ac:dyDescent="0.2">
      <c r="A82" s="270"/>
      <c r="B82" s="284" t="s">
        <v>342</v>
      </c>
      <c r="C82" s="274" t="s">
        <v>115</v>
      </c>
      <c r="D82" s="273" t="s">
        <v>115</v>
      </c>
      <c r="E82" s="274"/>
      <c r="F82" s="276" t="s">
        <v>115</v>
      </c>
      <c r="G82" s="276" t="s">
        <v>115</v>
      </c>
      <c r="H82" s="273" t="s">
        <v>115</v>
      </c>
    </row>
    <row r="83" spans="1:8" ht="13.25" customHeight="1" x14ac:dyDescent="0.2">
      <c r="A83" s="261" t="s">
        <v>343</v>
      </c>
      <c r="B83" s="216" t="s">
        <v>344</v>
      </c>
      <c r="C83" s="220" t="s">
        <v>345</v>
      </c>
      <c r="D83" s="216" t="s">
        <v>181</v>
      </c>
      <c r="E83" s="218" t="s">
        <v>323</v>
      </c>
      <c r="F83" s="221">
        <v>0.2</v>
      </c>
      <c r="G83" s="221">
        <v>0.4</v>
      </c>
      <c r="H83" s="219" t="s">
        <v>206</v>
      </c>
    </row>
    <row r="84" spans="1:8" x14ac:dyDescent="0.2">
      <c r="A84" s="277"/>
      <c r="B84" s="283" t="s">
        <v>346</v>
      </c>
      <c r="C84" s="279"/>
      <c r="D84" s="280" t="s">
        <v>115</v>
      </c>
      <c r="E84" s="615"/>
      <c r="F84" s="276" t="s">
        <v>115</v>
      </c>
      <c r="G84" s="276" t="s">
        <v>115</v>
      </c>
      <c r="H84" s="273" t="s">
        <v>115</v>
      </c>
    </row>
    <row r="85" spans="1:8" ht="13.25" customHeight="1" x14ac:dyDescent="0.2">
      <c r="A85" s="261" t="s">
        <v>347</v>
      </c>
      <c r="B85" s="216" t="s">
        <v>348</v>
      </c>
      <c r="C85" s="220" t="s">
        <v>275</v>
      </c>
      <c r="D85" s="216" t="s">
        <v>269</v>
      </c>
      <c r="E85" s="220" t="s">
        <v>330</v>
      </c>
      <c r="F85" s="221">
        <v>0.2</v>
      </c>
      <c r="G85" s="221">
        <v>0.5</v>
      </c>
      <c r="H85" s="229" t="s">
        <v>206</v>
      </c>
    </row>
    <row r="86" spans="1:8" ht="13.25" customHeight="1" x14ac:dyDescent="0.2">
      <c r="A86" s="260" t="s">
        <v>349</v>
      </c>
      <c r="B86" s="81" t="s">
        <v>350</v>
      </c>
      <c r="C86" s="82" t="s">
        <v>351</v>
      </c>
      <c r="D86" s="81" t="s">
        <v>1874</v>
      </c>
      <c r="E86" s="82" t="s">
        <v>352</v>
      </c>
      <c r="F86" s="84" t="s">
        <v>289</v>
      </c>
      <c r="G86" s="84">
        <v>0.5</v>
      </c>
      <c r="H86" s="85" t="s">
        <v>206</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M143"/>
  <sheetViews>
    <sheetView showGridLines="0" zoomScale="85" zoomScaleNormal="85" workbookViewId="0">
      <selection activeCell="F20" sqref="F20:G23"/>
    </sheetView>
  </sheetViews>
  <sheetFormatPr baseColWidth="10" defaultColWidth="9.1640625" defaultRowHeight="14.25" customHeight="1" x14ac:dyDescent="0.2"/>
  <cols>
    <col min="1" max="1" width="2.6640625" style="86" customWidth="1"/>
    <col min="2" max="2" width="31.33203125" style="86" customWidth="1"/>
    <col min="3" max="4" width="24.6640625" style="86" customWidth="1"/>
    <col min="5" max="5" width="28.5" style="86" customWidth="1"/>
    <col min="6" max="6" width="24.6640625" style="86" customWidth="1"/>
    <col min="7" max="8" width="19.6640625" style="86" customWidth="1"/>
    <col min="9" max="9" width="2.6640625" style="86" customWidth="1"/>
    <col min="10" max="10" width="8.6640625" style="86" customWidth="1"/>
    <col min="11" max="11" width="1" style="86" hidden="1" customWidth="1"/>
    <col min="12" max="13" width="22.5" style="86" hidden="1" customWidth="1"/>
    <col min="14" max="29" width="22.5" style="86" customWidth="1"/>
    <col min="30" max="30" width="6.5" style="86" customWidth="1"/>
    <col min="31" max="32" width="20.83203125" style="86" customWidth="1"/>
    <col min="33" max="40" width="18.5" style="86" customWidth="1"/>
    <col min="41" max="16384" width="9.1640625" style="86"/>
  </cols>
  <sheetData>
    <row r="1" spans="1:11" ht="23" x14ac:dyDescent="0.2">
      <c r="A1" s="286"/>
      <c r="B1" s="317" t="s">
        <v>1762</v>
      </c>
      <c r="C1" s="287"/>
      <c r="D1" s="286"/>
      <c r="E1" s="287"/>
      <c r="F1" s="287"/>
      <c r="G1" s="287"/>
      <c r="H1" s="287"/>
      <c r="I1" s="286"/>
      <c r="J1" s="297"/>
      <c r="K1" s="88" t="s">
        <v>366</v>
      </c>
    </row>
    <row r="2" spans="1:11" ht="17" customHeight="1" x14ac:dyDescent="0.2">
      <c r="A2" s="286"/>
      <c r="B2" s="315" t="s">
        <v>1763</v>
      </c>
      <c r="C2" s="316"/>
      <c r="D2" s="286"/>
      <c r="E2" s="287"/>
      <c r="F2" s="287"/>
      <c r="G2" s="287"/>
      <c r="H2" s="287"/>
      <c r="I2" s="286"/>
      <c r="J2" s="297"/>
      <c r="K2" s="88"/>
    </row>
    <row r="3" spans="1:11" ht="14.25" customHeight="1" thickBot="1" x14ac:dyDescent="0.25">
      <c r="A3" s="286"/>
      <c r="B3" s="288"/>
      <c r="C3" s="289"/>
      <c r="D3" s="286"/>
      <c r="E3" s="289"/>
      <c r="F3" s="289"/>
      <c r="G3" s="289"/>
      <c r="H3" s="289"/>
      <c r="I3" s="286"/>
      <c r="J3" s="297"/>
      <c r="K3" s="88" t="s">
        <v>369</v>
      </c>
    </row>
    <row r="4" spans="1:11" s="87" customFormat="1" ht="14.25" customHeight="1" thickTop="1" thickBot="1" x14ac:dyDescent="0.25">
      <c r="A4" s="286"/>
      <c r="B4" s="1085" t="s">
        <v>1758</v>
      </c>
      <c r="C4" s="1086"/>
      <c r="D4" s="286"/>
      <c r="E4" s="521" t="s">
        <v>1837</v>
      </c>
      <c r="F4" s="522"/>
      <c r="G4" s="522"/>
      <c r="H4" s="523"/>
      <c r="I4" s="286"/>
      <c r="J4" s="297"/>
      <c r="K4" s="88" t="s">
        <v>371</v>
      </c>
    </row>
    <row r="5" spans="1:11" s="87" customFormat="1" ht="14.25" customHeight="1" thickTop="1" x14ac:dyDescent="0.2">
      <c r="A5" s="285"/>
      <c r="B5" s="306" t="s">
        <v>103</v>
      </c>
      <c r="C5" s="304">
        <f>INTAKE!E5</f>
        <v>0</v>
      </c>
      <c r="D5" s="286"/>
      <c r="E5" s="513" t="s">
        <v>1835</v>
      </c>
      <c r="F5" s="514" t="s">
        <v>1832</v>
      </c>
      <c r="G5" s="515" t="s">
        <v>1833</v>
      </c>
      <c r="H5" s="516" t="s">
        <v>1834</v>
      </c>
      <c r="I5" s="286"/>
      <c r="J5" s="297"/>
      <c r="K5" s="88" t="s">
        <v>373</v>
      </c>
    </row>
    <row r="6" spans="1:11" s="87" customFormat="1" ht="14.25" customHeight="1" x14ac:dyDescent="0.2">
      <c r="A6" s="285"/>
      <c r="B6" s="306" t="s">
        <v>1739</v>
      </c>
      <c r="C6" s="305" t="str">
        <f>INTAKE!E8</f>
        <v>DEVSALE_FIRST_NAME DEVSALE_LAST_NAME</v>
      </c>
      <c r="D6" s="286"/>
      <c r="E6" s="517" t="s">
        <v>1755</v>
      </c>
      <c r="F6" s="720">
        <v>19</v>
      </c>
      <c r="G6" s="721">
        <v>61.43</v>
      </c>
      <c r="H6" s="310"/>
      <c r="I6" s="286"/>
      <c r="J6" s="297"/>
      <c r="K6" s="88" t="s">
        <v>375</v>
      </c>
    </row>
    <row r="7" spans="1:11" s="87" customFormat="1" ht="14.25" customHeight="1" x14ac:dyDescent="0.2">
      <c r="A7" s="285"/>
      <c r="B7" s="306" t="s">
        <v>1737</v>
      </c>
      <c r="C7" s="304" t="str">
        <f>INTAKE!E10</f>
        <v>Conor Brumfield</v>
      </c>
      <c r="D7" s="286"/>
      <c r="E7" s="517" t="s">
        <v>1757</v>
      </c>
      <c r="F7" s="720">
        <v>22</v>
      </c>
      <c r="G7" s="721">
        <v>122.7</v>
      </c>
      <c r="H7" s="310"/>
      <c r="I7" s="286"/>
      <c r="J7" s="297"/>
      <c r="K7" s="88" t="s">
        <v>376</v>
      </c>
    </row>
    <row r="8" spans="1:11" s="87" customFormat="1" ht="14.25" customHeight="1" x14ac:dyDescent="0.2">
      <c r="A8" s="285"/>
      <c r="B8" s="306" t="s">
        <v>1740</v>
      </c>
      <c r="C8" s="305">
        <f>INTAKE!J5</f>
        <v>1542</v>
      </c>
      <c r="D8" s="286"/>
      <c r="E8" s="517" t="s">
        <v>1756</v>
      </c>
      <c r="F8" s="720">
        <v>2</v>
      </c>
      <c r="G8" s="721">
        <v>143.25</v>
      </c>
      <c r="H8" s="310"/>
      <c r="I8" s="286"/>
      <c r="J8" s="297"/>
      <c r="K8" s="88" t="s">
        <v>378</v>
      </c>
    </row>
    <row r="9" spans="1:11" s="87" customFormat="1" ht="14.25" customHeight="1" thickBot="1" x14ac:dyDescent="0.25">
      <c r="A9" s="285"/>
      <c r="B9" s="306" t="s">
        <v>353</v>
      </c>
      <c r="C9" s="312">
        <f>INTAKE!N5</f>
        <v>182</v>
      </c>
      <c r="D9" s="286"/>
      <c r="E9" s="518" t="s">
        <v>100</v>
      </c>
      <c r="F9" s="722">
        <v>15</v>
      </c>
      <c r="G9" s="723">
        <v>207.28</v>
      </c>
      <c r="H9" s="311"/>
      <c r="I9" s="286"/>
      <c r="J9" s="297"/>
      <c r="K9" s="88" t="s">
        <v>380</v>
      </c>
    </row>
    <row r="10" spans="1:11" s="87" customFormat="1" ht="17.25" customHeight="1" thickTop="1" x14ac:dyDescent="0.2">
      <c r="A10" s="285"/>
      <c r="B10" s="306" t="s">
        <v>1738</v>
      </c>
      <c r="C10" s="313">
        <f>INTAKE!E7</f>
        <v>43101</v>
      </c>
      <c r="D10" s="286"/>
      <c r="E10" s="286"/>
      <c r="F10" s="286"/>
      <c r="G10" s="286"/>
      <c r="H10" s="286"/>
      <c r="I10" s="286"/>
      <c r="J10" s="297"/>
      <c r="K10" s="88" t="s">
        <v>382</v>
      </c>
    </row>
    <row r="11" spans="1:11" s="87" customFormat="1" ht="14.25" customHeight="1" thickBot="1" x14ac:dyDescent="0.25">
      <c r="A11" s="285"/>
      <c r="B11" s="608" t="s">
        <v>354</v>
      </c>
      <c r="C11" s="609" t="s">
        <v>1932</v>
      </c>
      <c r="D11" s="286"/>
      <c r="E11" s="521" t="s">
        <v>1838</v>
      </c>
      <c r="F11" s="522"/>
      <c r="G11" s="522"/>
      <c r="H11" s="523"/>
      <c r="I11" s="286"/>
      <c r="J11" s="297"/>
      <c r="K11" s="88" t="s">
        <v>384</v>
      </c>
    </row>
    <row r="12" spans="1:11" s="87" customFormat="1" ht="14.25" customHeight="1" thickTop="1" thickBot="1" x14ac:dyDescent="0.25">
      <c r="A12" s="285"/>
      <c r="B12" s="612"/>
      <c r="C12" s="612"/>
      <c r="D12" s="286"/>
      <c r="E12" s="513" t="s">
        <v>1835</v>
      </c>
      <c r="F12" s="514" t="s">
        <v>1832</v>
      </c>
      <c r="G12" s="515" t="s">
        <v>1833</v>
      </c>
      <c r="H12" s="516" t="s">
        <v>1834</v>
      </c>
      <c r="I12" s="286"/>
      <c r="J12" s="297"/>
      <c r="K12" s="88" t="s">
        <v>387</v>
      </c>
    </row>
    <row r="13" spans="1:11" s="87" customFormat="1" ht="14.25" customHeight="1" x14ac:dyDescent="0.2">
      <c r="A13" s="285"/>
      <c r="B13" s="610" t="s">
        <v>355</v>
      </c>
      <c r="C13" s="611" t="s">
        <v>1937</v>
      </c>
      <c r="D13" s="286"/>
      <c r="E13" s="517" t="s">
        <v>1755</v>
      </c>
      <c r="F13" s="720"/>
      <c r="G13" s="721"/>
      <c r="H13" s="310"/>
      <c r="I13" s="286"/>
      <c r="J13" s="297"/>
      <c r="K13" s="88" t="s">
        <v>388</v>
      </c>
    </row>
    <row r="14" spans="1:11" s="87" customFormat="1" ht="14.25" customHeight="1" x14ac:dyDescent="0.2">
      <c r="A14" s="285"/>
      <c r="B14" s="306" t="s">
        <v>356</v>
      </c>
      <c r="C14" s="300">
        <v>4</v>
      </c>
      <c r="D14" s="286"/>
      <c r="E14" s="517" t="s">
        <v>1757</v>
      </c>
      <c r="F14" s="720"/>
      <c r="G14" s="721"/>
      <c r="H14" s="310"/>
      <c r="I14" s="286"/>
      <c r="J14" s="297"/>
    </row>
    <row r="15" spans="1:11" s="87" customFormat="1" ht="14.25" customHeight="1" x14ac:dyDescent="0.2">
      <c r="A15" s="285"/>
      <c r="B15" s="306" t="s">
        <v>357</v>
      </c>
      <c r="C15" s="301" t="s">
        <v>1938</v>
      </c>
      <c r="D15" s="286"/>
      <c r="E15" s="517" t="s">
        <v>1756</v>
      </c>
      <c r="F15" s="720"/>
      <c r="G15" s="721"/>
      <c r="H15" s="310"/>
      <c r="I15" s="286"/>
      <c r="J15" s="297"/>
    </row>
    <row r="16" spans="1:11" s="87" customFormat="1" ht="14.25" customHeight="1" thickBot="1" x14ac:dyDescent="0.25">
      <c r="A16" s="285"/>
      <c r="B16" s="306" t="s">
        <v>358</v>
      </c>
      <c r="C16" s="314">
        <f>INTAKE!H53</f>
        <v>0.04</v>
      </c>
      <c r="D16" s="286"/>
      <c r="E16" s="518" t="s">
        <v>100</v>
      </c>
      <c r="F16" s="722"/>
      <c r="G16" s="723"/>
      <c r="H16" s="311"/>
      <c r="I16" s="286"/>
      <c r="J16" s="297"/>
    </row>
    <row r="17" spans="1:10" s="87" customFormat="1" ht="14.25" customHeight="1" thickTop="1" x14ac:dyDescent="0.2">
      <c r="A17" s="285"/>
      <c r="B17" s="306" t="s">
        <v>7</v>
      </c>
      <c r="C17" s="313">
        <f>INTAKE!R5</f>
        <v>42998</v>
      </c>
      <c r="D17" s="286"/>
      <c r="E17" s="519"/>
      <c r="F17" s="519"/>
      <c r="G17" s="520"/>
      <c r="H17" s="520"/>
      <c r="I17" s="286"/>
      <c r="J17" s="297"/>
    </row>
    <row r="18" spans="1:10" s="87" customFormat="1" ht="14.25" customHeight="1" thickBot="1" x14ac:dyDescent="0.25">
      <c r="A18" s="285"/>
      <c r="B18" s="307" t="s">
        <v>1831</v>
      </c>
      <c r="C18" s="511">
        <v>1</v>
      </c>
      <c r="D18" s="286"/>
      <c r="E18" s="521" t="s">
        <v>1771</v>
      </c>
      <c r="F18" s="522"/>
      <c r="G18" s="522"/>
      <c r="H18" s="523"/>
      <c r="I18" s="286"/>
      <c r="J18" s="297"/>
    </row>
    <row r="19" spans="1:10" s="87" customFormat="1" ht="14.25" customHeight="1" thickTop="1" thickBot="1" x14ac:dyDescent="0.25">
      <c r="A19" s="285"/>
      <c r="B19" s="308" t="s">
        <v>1830</v>
      </c>
      <c r="C19" s="512" t="s">
        <v>289</v>
      </c>
      <c r="D19" s="286"/>
      <c r="E19" s="513" t="s">
        <v>1835</v>
      </c>
      <c r="F19" s="514" t="s">
        <v>1832</v>
      </c>
      <c r="G19" s="515" t="s">
        <v>1833</v>
      </c>
      <c r="H19" s="516" t="s">
        <v>1834</v>
      </c>
      <c r="I19" s="286"/>
      <c r="J19" s="297"/>
    </row>
    <row r="20" spans="1:10" s="87" customFormat="1" ht="14.25" customHeight="1" thickTop="1" thickBot="1" x14ac:dyDescent="0.25">
      <c r="A20" s="285"/>
      <c r="B20" s="289"/>
      <c r="C20" s="289"/>
      <c r="D20" s="286"/>
      <c r="E20" s="517" t="s">
        <v>1755</v>
      </c>
      <c r="F20" s="720"/>
      <c r="G20" s="721"/>
      <c r="H20" s="310"/>
      <c r="I20" s="286"/>
      <c r="J20" s="297"/>
    </row>
    <row r="21" spans="1:10" s="87" customFormat="1" ht="14.25" customHeight="1" thickTop="1" x14ac:dyDescent="0.2">
      <c r="A21" s="285"/>
      <c r="B21" s="503" t="s">
        <v>1836</v>
      </c>
      <c r="C21" s="504"/>
      <c r="D21" s="286"/>
      <c r="E21" s="517" t="s">
        <v>1757</v>
      </c>
      <c r="F21" s="720"/>
      <c r="G21" s="721"/>
      <c r="H21" s="310"/>
      <c r="I21" s="286"/>
      <c r="J21" s="297"/>
    </row>
    <row r="22" spans="1:10" s="87" customFormat="1" ht="14.25" customHeight="1" x14ac:dyDescent="0.2">
      <c r="A22" s="285"/>
      <c r="B22" s="505"/>
      <c r="C22" s="506"/>
      <c r="D22" s="286"/>
      <c r="E22" s="517" t="s">
        <v>1756</v>
      </c>
      <c r="F22" s="720"/>
      <c r="G22" s="721"/>
      <c r="H22" s="310"/>
      <c r="I22" s="286"/>
      <c r="J22" s="297"/>
    </row>
    <row r="23" spans="1:10" s="87" customFormat="1" ht="14.25" customHeight="1" thickBot="1" x14ac:dyDescent="0.25">
      <c r="A23" s="285"/>
      <c r="B23" s="505"/>
      <c r="C23" s="506"/>
      <c r="D23" s="286"/>
      <c r="E23" s="518" t="s">
        <v>100</v>
      </c>
      <c r="F23" s="722"/>
      <c r="G23" s="723"/>
      <c r="H23" s="311"/>
      <c r="I23" s="286"/>
      <c r="J23" s="297"/>
    </row>
    <row r="24" spans="1:10" s="87" customFormat="1" ht="14.25" customHeight="1" thickTop="1" x14ac:dyDescent="0.2">
      <c r="A24" s="285"/>
      <c r="B24" s="505"/>
      <c r="C24" s="506"/>
      <c r="D24" s="286"/>
      <c r="E24" s="286"/>
      <c r="F24" s="286"/>
      <c r="G24" s="286"/>
      <c r="H24" s="286"/>
      <c r="I24" s="286"/>
      <c r="J24" s="297"/>
    </row>
    <row r="25" spans="1:10" s="87" customFormat="1" ht="14.25" customHeight="1" thickBot="1" x14ac:dyDescent="0.25">
      <c r="A25" s="285"/>
      <c r="B25" s="507"/>
      <c r="C25" s="508"/>
      <c r="D25" s="286"/>
      <c r="E25" s="286"/>
      <c r="F25" s="286"/>
      <c r="G25" s="286"/>
      <c r="H25" s="286"/>
      <c r="I25" s="286"/>
      <c r="J25" s="297"/>
    </row>
    <row r="26" spans="1:10" s="87" customFormat="1" ht="14.25" customHeight="1" thickTop="1" thickBot="1" x14ac:dyDescent="0.25">
      <c r="A26" s="285"/>
      <c r="B26" s="289"/>
      <c r="C26" s="289"/>
      <c r="D26" s="286"/>
      <c r="E26" s="286"/>
      <c r="F26" s="286"/>
      <c r="G26" s="286"/>
      <c r="H26" s="286"/>
      <c r="I26" s="286"/>
      <c r="J26" s="297"/>
    </row>
    <row r="27" spans="1:10" s="87" customFormat="1" ht="24" thickTop="1" x14ac:dyDescent="0.2">
      <c r="A27" s="285"/>
      <c r="B27" s="1087" t="s">
        <v>1759</v>
      </c>
      <c r="C27" s="1088"/>
      <c r="D27" s="1088"/>
      <c r="E27" s="1088"/>
      <c r="F27" s="1089"/>
      <c r="G27" s="299"/>
      <c r="H27" s="289"/>
      <c r="I27" s="289"/>
      <c r="J27" s="297"/>
    </row>
    <row r="28" spans="1:10" s="87" customFormat="1" ht="14.25" customHeight="1" x14ac:dyDescent="0.2">
      <c r="A28" s="285"/>
      <c r="B28" s="489" t="s">
        <v>1754</v>
      </c>
      <c r="C28" s="1056" t="s">
        <v>1865</v>
      </c>
      <c r="D28" s="1057"/>
      <c r="E28" s="1073"/>
      <c r="F28" s="1074"/>
      <c r="G28" s="299"/>
      <c r="H28" s="289"/>
      <c r="I28" s="289"/>
      <c r="J28" s="297"/>
    </row>
    <row r="29" spans="1:10" s="87" customFormat="1" ht="14.25" customHeight="1" x14ac:dyDescent="0.2">
      <c r="A29" s="285"/>
      <c r="B29" s="307" t="s">
        <v>1747</v>
      </c>
      <c r="C29" s="1048" t="s">
        <v>359</v>
      </c>
      <c r="D29" s="1049"/>
      <c r="E29" s="1071"/>
      <c r="F29" s="1072"/>
      <c r="G29" s="299"/>
      <c r="H29" s="289"/>
      <c r="I29" s="289"/>
      <c r="J29" s="297"/>
    </row>
    <row r="30" spans="1:10" s="87" customFormat="1" ht="14.25" customHeight="1" x14ac:dyDescent="0.2">
      <c r="A30" s="285"/>
      <c r="B30" s="307" t="s">
        <v>1748</v>
      </c>
      <c r="C30" s="1048" t="s">
        <v>360</v>
      </c>
      <c r="D30" s="1049"/>
      <c r="E30" s="1071"/>
      <c r="F30" s="1072"/>
      <c r="G30" s="299"/>
      <c r="H30" s="289"/>
      <c r="I30" s="289"/>
      <c r="J30" s="297"/>
    </row>
    <row r="31" spans="1:10" s="87" customFormat="1" ht="14.25" customHeight="1" thickBot="1" x14ac:dyDescent="0.25">
      <c r="A31" s="285"/>
      <c r="B31" s="490" t="s">
        <v>361</v>
      </c>
      <c r="C31" s="1079" t="s">
        <v>1858</v>
      </c>
      <c r="D31" s="1080"/>
      <c r="E31" s="1081"/>
      <c r="F31" s="1082"/>
      <c r="G31" s="299"/>
      <c r="H31" s="289"/>
      <c r="I31" s="289"/>
      <c r="J31" s="297"/>
    </row>
    <row r="32" spans="1:10" s="87" customFormat="1" ht="14.25" customHeight="1" thickBot="1" x14ac:dyDescent="0.25">
      <c r="A32" s="285"/>
      <c r="B32" s="645"/>
      <c r="C32" s="1077" t="s">
        <v>1751</v>
      </c>
      <c r="D32" s="1078"/>
      <c r="E32" s="1064"/>
      <c r="F32" s="1065"/>
      <c r="G32" s="299"/>
      <c r="H32" s="289"/>
      <c r="I32" s="289"/>
      <c r="J32" s="297"/>
    </row>
    <row r="33" spans="1:10" s="87" customFormat="1" ht="14.25" customHeight="1" thickBot="1" x14ac:dyDescent="0.25">
      <c r="A33" s="285"/>
      <c r="B33" s="646"/>
      <c r="C33" s="623" t="s">
        <v>362</v>
      </c>
      <c r="D33" s="622" t="s">
        <v>1753</v>
      </c>
      <c r="E33" s="623"/>
      <c r="F33" s="622"/>
      <c r="G33" s="299"/>
      <c r="H33" s="289"/>
      <c r="I33" s="289"/>
      <c r="J33" s="297"/>
    </row>
    <row r="34" spans="1:10" s="87" customFormat="1" ht="14.25" customHeight="1" thickBot="1" x14ac:dyDescent="0.25">
      <c r="A34" s="285"/>
      <c r="B34" s="647" t="s">
        <v>363</v>
      </c>
      <c r="C34" s="631">
        <v>1</v>
      </c>
      <c r="D34" s="632">
        <v>1</v>
      </c>
      <c r="E34" s="631"/>
      <c r="F34" s="632"/>
      <c r="G34" s="299"/>
      <c r="H34" s="289"/>
      <c r="I34" s="289"/>
      <c r="J34" s="297"/>
    </row>
    <row r="35" spans="1:10" s="87" customFormat="1" ht="14.25" customHeight="1" x14ac:dyDescent="0.2">
      <c r="A35" s="285"/>
      <c r="B35" s="491" t="s">
        <v>364</v>
      </c>
      <c r="C35" s="634">
        <v>0.9</v>
      </c>
      <c r="D35" s="635">
        <v>0.8</v>
      </c>
      <c r="E35" s="634"/>
      <c r="F35" s="635"/>
      <c r="G35" s="299"/>
      <c r="H35" s="289"/>
      <c r="I35" s="289"/>
      <c r="J35" s="297"/>
    </row>
    <row r="36" spans="1:10" s="87" customFormat="1" ht="14.25" customHeight="1" x14ac:dyDescent="0.2">
      <c r="A36" s="285"/>
      <c r="B36" s="302" t="s">
        <v>365</v>
      </c>
      <c r="C36" s="603">
        <v>0.9</v>
      </c>
      <c r="D36" s="624">
        <v>0.8</v>
      </c>
      <c r="E36" s="603"/>
      <c r="F36" s="624"/>
      <c r="G36" s="299"/>
      <c r="H36" s="289"/>
      <c r="I36" s="289"/>
      <c r="J36" s="297"/>
    </row>
    <row r="37" spans="1:10" s="87" customFormat="1" ht="14.25" customHeight="1" x14ac:dyDescent="0.2">
      <c r="A37" s="285"/>
      <c r="B37" s="302" t="s">
        <v>367</v>
      </c>
      <c r="C37" s="603">
        <v>0</v>
      </c>
      <c r="D37" s="624">
        <v>0.8</v>
      </c>
      <c r="E37" s="603"/>
      <c r="F37" s="624"/>
      <c r="G37" s="299"/>
      <c r="H37" s="289"/>
      <c r="I37" s="289"/>
      <c r="J37" s="297"/>
    </row>
    <row r="38" spans="1:10" s="87" customFormat="1" ht="14.25" customHeight="1" thickBot="1" x14ac:dyDescent="0.25">
      <c r="A38" s="285"/>
      <c r="B38" s="619" t="s">
        <v>368</v>
      </c>
      <c r="C38" s="627">
        <v>0.9</v>
      </c>
      <c r="D38" s="625">
        <v>0.8</v>
      </c>
      <c r="E38" s="627"/>
      <c r="F38" s="625"/>
      <c r="G38" s="299"/>
      <c r="H38" s="289"/>
      <c r="I38" s="289"/>
      <c r="J38" s="297"/>
    </row>
    <row r="39" spans="1:10" s="87" customFormat="1" ht="14.25" customHeight="1" x14ac:dyDescent="0.2">
      <c r="A39" s="285"/>
      <c r="B39" s="636" t="s">
        <v>370</v>
      </c>
      <c r="C39" s="637">
        <v>0.6</v>
      </c>
      <c r="D39" s="638">
        <v>0.5</v>
      </c>
      <c r="E39" s="637"/>
      <c r="F39" s="638"/>
      <c r="G39" s="299"/>
      <c r="H39" s="289"/>
      <c r="I39" s="289"/>
      <c r="J39" s="297"/>
    </row>
    <row r="40" spans="1:10" s="87" customFormat="1" ht="14.25" customHeight="1" x14ac:dyDescent="0.2">
      <c r="A40" s="285"/>
      <c r="B40" s="309" t="s">
        <v>372</v>
      </c>
      <c r="C40" s="606">
        <v>0.6</v>
      </c>
      <c r="D40" s="617">
        <v>0.5</v>
      </c>
      <c r="E40" s="606"/>
      <c r="F40" s="617"/>
      <c r="G40" s="299"/>
      <c r="H40" s="289"/>
      <c r="I40" s="289"/>
      <c r="J40" s="297"/>
    </row>
    <row r="41" spans="1:10" s="87" customFormat="1" ht="14.25" customHeight="1" thickBot="1" x14ac:dyDescent="0.25">
      <c r="A41" s="285"/>
      <c r="B41" s="618" t="s">
        <v>374</v>
      </c>
      <c r="C41" s="628">
        <v>0.6</v>
      </c>
      <c r="D41" s="626">
        <v>0.5</v>
      </c>
      <c r="E41" s="628"/>
      <c r="F41" s="626"/>
      <c r="G41" s="299"/>
      <c r="H41" s="289"/>
      <c r="I41" s="289"/>
      <c r="J41" s="297"/>
    </row>
    <row r="42" spans="1:10" s="87" customFormat="1" ht="14.25" customHeight="1" x14ac:dyDescent="0.2">
      <c r="A42" s="285"/>
      <c r="B42" s="633" t="s">
        <v>377</v>
      </c>
      <c r="C42" s="1046" t="s">
        <v>366</v>
      </c>
      <c r="D42" s="1047"/>
      <c r="E42" s="1046"/>
      <c r="F42" s="1047"/>
      <c r="G42" s="299"/>
      <c r="H42" s="289"/>
      <c r="I42" s="289"/>
      <c r="J42" s="297"/>
    </row>
    <row r="43" spans="1:10" s="87" customFormat="1" ht="14.25" customHeight="1" thickBot="1" x14ac:dyDescent="0.25">
      <c r="A43" s="285"/>
      <c r="B43" s="619" t="s">
        <v>379</v>
      </c>
      <c r="C43" s="1038" t="s">
        <v>1826</v>
      </c>
      <c r="D43" s="1039"/>
      <c r="E43" s="1038"/>
      <c r="F43" s="1039"/>
      <c r="G43" s="299"/>
      <c r="H43" s="289"/>
      <c r="I43" s="289"/>
      <c r="J43" s="297"/>
    </row>
    <row r="44" spans="1:10" s="87" customFormat="1" ht="14.25" customHeight="1" x14ac:dyDescent="0.2">
      <c r="A44" s="285"/>
      <c r="B44" s="636" t="s">
        <v>381</v>
      </c>
      <c r="C44" s="1046" t="s">
        <v>1859</v>
      </c>
      <c r="D44" s="1047"/>
      <c r="E44" s="1046"/>
      <c r="F44" s="1047"/>
      <c r="G44" s="299"/>
      <c r="H44" s="289"/>
      <c r="I44" s="289"/>
      <c r="J44" s="297"/>
    </row>
    <row r="45" spans="1:10" s="87" customFormat="1" ht="14.25" customHeight="1" thickBot="1" x14ac:dyDescent="0.25">
      <c r="A45" s="285"/>
      <c r="B45" s="309" t="s">
        <v>383</v>
      </c>
      <c r="C45" s="1044">
        <v>0.5</v>
      </c>
      <c r="D45" s="1045"/>
      <c r="E45" s="1044"/>
      <c r="F45" s="1045"/>
      <c r="G45" s="299"/>
      <c r="H45" s="289"/>
      <c r="I45" s="289"/>
      <c r="J45" s="297"/>
    </row>
    <row r="46" spans="1:10" s="87" customFormat="1" ht="14.25" customHeight="1" x14ac:dyDescent="0.2">
      <c r="A46" s="285"/>
      <c r="B46" s="309" t="s">
        <v>385</v>
      </c>
      <c r="C46" s="641">
        <v>2000</v>
      </c>
      <c r="D46" s="641">
        <v>2000</v>
      </c>
      <c r="E46" s="629"/>
      <c r="F46" s="630"/>
      <c r="G46" s="299"/>
      <c r="H46" s="289"/>
      <c r="I46" s="289"/>
      <c r="J46" s="297"/>
    </row>
    <row r="47" spans="1:10" s="87" customFormat="1" ht="14.25" customHeight="1" x14ac:dyDescent="0.2">
      <c r="A47" s="299"/>
      <c r="B47" s="309" t="s">
        <v>386</v>
      </c>
      <c r="C47" s="1040" t="s">
        <v>366</v>
      </c>
      <c r="D47" s="1041"/>
      <c r="E47" s="1040"/>
      <c r="F47" s="1041"/>
      <c r="G47" s="299"/>
      <c r="H47" s="289"/>
      <c r="I47" s="289"/>
      <c r="J47" s="297"/>
    </row>
    <row r="48" spans="1:10" s="87" customFormat="1" ht="14.25" customHeight="1" thickBot="1" x14ac:dyDescent="0.25">
      <c r="A48" s="299"/>
      <c r="B48" s="618" t="s">
        <v>379</v>
      </c>
      <c r="C48" s="1038" t="s">
        <v>1826</v>
      </c>
      <c r="D48" s="1039"/>
      <c r="E48" s="1038"/>
      <c r="F48" s="1039"/>
      <c r="G48" s="299"/>
      <c r="H48" s="289"/>
      <c r="I48" s="289"/>
      <c r="J48" s="297"/>
    </row>
    <row r="49" spans="1:10" s="87" customFormat="1" ht="14.25" customHeight="1" x14ac:dyDescent="0.2">
      <c r="A49" s="299"/>
      <c r="B49" s="633" t="s">
        <v>389</v>
      </c>
      <c r="C49" s="639">
        <v>50</v>
      </c>
      <c r="D49" s="640">
        <v>75</v>
      </c>
      <c r="E49" s="639"/>
      <c r="F49" s="640"/>
      <c r="G49" s="299"/>
      <c r="H49" s="289"/>
      <c r="I49" s="289"/>
      <c r="J49" s="297"/>
    </row>
    <row r="50" spans="1:10" s="87" customFormat="1" ht="14.25" customHeight="1" x14ac:dyDescent="0.2">
      <c r="A50" s="299"/>
      <c r="B50" s="302" t="s">
        <v>390</v>
      </c>
      <c r="C50" s="604" t="s">
        <v>1827</v>
      </c>
      <c r="D50" s="605" t="s">
        <v>1827</v>
      </c>
      <c r="E50" s="604"/>
      <c r="F50" s="616"/>
      <c r="G50" s="299"/>
      <c r="H50" s="289"/>
      <c r="I50" s="289"/>
      <c r="J50" s="297"/>
    </row>
    <row r="51" spans="1:10" ht="14.25" customHeight="1" thickBot="1" x14ac:dyDescent="0.25">
      <c r="A51" s="299"/>
      <c r="B51" s="619" t="s">
        <v>391</v>
      </c>
      <c r="C51" s="620" t="s">
        <v>57</v>
      </c>
      <c r="D51" s="621" t="s">
        <v>57</v>
      </c>
      <c r="E51" s="620"/>
      <c r="F51" s="621"/>
      <c r="G51" s="299"/>
      <c r="H51" s="289"/>
      <c r="I51" s="289"/>
      <c r="J51" s="297"/>
    </row>
    <row r="52" spans="1:10" ht="14.25" customHeight="1" x14ac:dyDescent="0.2">
      <c r="A52" s="299"/>
      <c r="B52" s="636" t="s">
        <v>392</v>
      </c>
      <c r="C52" s="641">
        <v>2000</v>
      </c>
      <c r="D52" s="641">
        <v>2000</v>
      </c>
      <c r="E52" s="641"/>
      <c r="F52" s="642"/>
      <c r="G52" s="299"/>
      <c r="H52" s="289"/>
      <c r="I52" s="289"/>
      <c r="J52" s="297"/>
    </row>
    <row r="53" spans="1:10" ht="14.25" customHeight="1" thickBot="1" x14ac:dyDescent="0.25">
      <c r="A53" s="299"/>
      <c r="B53" s="618" t="s">
        <v>393</v>
      </c>
      <c r="C53" s="1050" t="s">
        <v>63</v>
      </c>
      <c r="D53" s="1051"/>
      <c r="E53" s="1050"/>
      <c r="F53" s="1051"/>
      <c r="G53" s="299"/>
      <c r="H53" s="289"/>
      <c r="I53" s="289"/>
      <c r="J53" s="297"/>
    </row>
    <row r="54" spans="1:10" ht="14.25" customHeight="1" thickBot="1" x14ac:dyDescent="0.25">
      <c r="A54" s="299"/>
      <c r="B54" s="643" t="s">
        <v>394</v>
      </c>
      <c r="C54" s="1052" t="s">
        <v>1866</v>
      </c>
      <c r="D54" s="1053"/>
      <c r="E54" s="1052"/>
      <c r="F54" s="1053"/>
      <c r="G54" s="299"/>
      <c r="H54" s="289"/>
      <c r="I54" s="289"/>
      <c r="J54" s="297"/>
    </row>
    <row r="55" spans="1:10" ht="14.25" customHeight="1" thickBot="1" x14ac:dyDescent="0.25">
      <c r="A55" s="299"/>
      <c r="B55" s="644" t="s">
        <v>395</v>
      </c>
      <c r="C55" s="1054" t="s">
        <v>1828</v>
      </c>
      <c r="D55" s="1055"/>
      <c r="E55" s="1054"/>
      <c r="F55" s="1055"/>
      <c r="G55" s="299"/>
      <c r="H55" s="289"/>
      <c r="I55" s="289"/>
      <c r="J55" s="297"/>
    </row>
    <row r="56" spans="1:10" ht="14.25" customHeight="1" x14ac:dyDescent="0.2">
      <c r="A56" s="299"/>
      <c r="B56" s="633" t="s">
        <v>396</v>
      </c>
      <c r="C56" s="1042" t="s">
        <v>397</v>
      </c>
      <c r="D56" s="1043"/>
      <c r="E56" s="1042"/>
      <c r="F56" s="1043"/>
      <c r="G56" s="299"/>
      <c r="H56" s="289"/>
      <c r="I56" s="289"/>
      <c r="J56" s="297"/>
    </row>
    <row r="57" spans="1:10" ht="14.25" customHeight="1" x14ac:dyDescent="0.2">
      <c r="A57" s="299"/>
      <c r="B57" s="302" t="s">
        <v>398</v>
      </c>
      <c r="C57" s="1062" t="s">
        <v>308</v>
      </c>
      <c r="D57" s="1063"/>
      <c r="E57" s="1062"/>
      <c r="F57" s="1063"/>
      <c r="G57" s="299"/>
      <c r="H57" s="289"/>
      <c r="I57" s="289"/>
      <c r="J57" s="297"/>
    </row>
    <row r="58" spans="1:10" ht="14.25" customHeight="1" x14ac:dyDescent="0.2">
      <c r="A58" s="299"/>
      <c r="B58" s="302" t="s">
        <v>399</v>
      </c>
      <c r="C58" s="1062" t="s">
        <v>1829</v>
      </c>
      <c r="D58" s="1063"/>
      <c r="E58" s="1062"/>
      <c r="F58" s="1063"/>
      <c r="G58" s="299"/>
      <c r="H58" s="289"/>
      <c r="I58" s="289"/>
      <c r="J58" s="297"/>
    </row>
    <row r="59" spans="1:10" ht="14.25" customHeight="1" x14ac:dyDescent="0.2">
      <c r="A59" s="299"/>
      <c r="B59" s="302" t="s">
        <v>400</v>
      </c>
      <c r="C59" s="1062" t="s">
        <v>1829</v>
      </c>
      <c r="D59" s="1063"/>
      <c r="E59" s="1062"/>
      <c r="F59" s="1063"/>
      <c r="G59" s="299"/>
      <c r="H59" s="289"/>
      <c r="I59" s="289"/>
      <c r="J59" s="297"/>
    </row>
    <row r="60" spans="1:10" ht="14.25" customHeight="1" x14ac:dyDescent="0.2">
      <c r="A60" s="299"/>
      <c r="B60" s="302" t="s">
        <v>401</v>
      </c>
      <c r="C60" s="1075" t="s">
        <v>1750</v>
      </c>
      <c r="D60" s="1076"/>
      <c r="E60" s="1075"/>
      <c r="F60" s="1076"/>
      <c r="G60" s="299"/>
      <c r="H60" s="289"/>
      <c r="I60" s="289"/>
      <c r="J60" s="297"/>
    </row>
    <row r="61" spans="1:10" ht="14.25" customHeight="1" x14ac:dyDescent="0.2">
      <c r="A61" s="299"/>
      <c r="B61" s="302" t="s">
        <v>402</v>
      </c>
      <c r="C61" s="1075" t="s">
        <v>403</v>
      </c>
      <c r="D61" s="1076"/>
      <c r="E61" s="1075"/>
      <c r="F61" s="1076"/>
      <c r="G61" s="299"/>
      <c r="H61" s="289"/>
      <c r="I61" s="289"/>
      <c r="J61" s="297"/>
    </row>
    <row r="62" spans="1:10" ht="14.25" customHeight="1" x14ac:dyDescent="0.2">
      <c r="A62" s="299"/>
      <c r="B62" s="302" t="s">
        <v>404</v>
      </c>
      <c r="C62" s="1066" t="s">
        <v>1749</v>
      </c>
      <c r="D62" s="1067"/>
      <c r="E62" s="1066"/>
      <c r="F62" s="1067"/>
      <c r="G62" s="299"/>
      <c r="H62" s="289"/>
      <c r="I62" s="289"/>
      <c r="J62" s="297"/>
    </row>
    <row r="63" spans="1:10" ht="14.25" customHeight="1" thickBot="1" x14ac:dyDescent="0.25">
      <c r="A63" s="299"/>
      <c r="B63" s="303" t="s">
        <v>405</v>
      </c>
      <c r="C63" s="1083" t="s">
        <v>406</v>
      </c>
      <c r="D63" s="1084"/>
      <c r="E63" s="1083"/>
      <c r="F63" s="1084"/>
      <c r="G63" s="299"/>
      <c r="H63" s="289"/>
      <c r="I63" s="289"/>
      <c r="J63" s="297"/>
    </row>
    <row r="64" spans="1:10" ht="14.25" customHeight="1" thickTop="1" x14ac:dyDescent="0.2">
      <c r="A64" s="299"/>
      <c r="B64" s="299"/>
      <c r="C64" s="299"/>
      <c r="D64" s="299"/>
      <c r="E64" s="299"/>
      <c r="F64" s="299"/>
      <c r="G64" s="299"/>
      <c r="H64" s="289"/>
      <c r="I64" s="289"/>
      <c r="J64" s="297"/>
    </row>
    <row r="65" spans="1:10" ht="28.25" hidden="1" customHeight="1" thickTop="1" x14ac:dyDescent="0.2">
      <c r="A65" s="299"/>
      <c r="B65" s="1068" t="s">
        <v>1761</v>
      </c>
      <c r="C65" s="1069"/>
      <c r="D65" s="1069"/>
      <c r="E65" s="1069"/>
      <c r="F65" s="1070"/>
      <c r="G65" s="299"/>
      <c r="H65" s="289"/>
      <c r="I65" s="289"/>
      <c r="J65" s="297"/>
    </row>
    <row r="66" spans="1:10" ht="14.25" hidden="1" customHeight="1" x14ac:dyDescent="0.2">
      <c r="A66" s="299"/>
      <c r="B66" s="307" t="s">
        <v>1754</v>
      </c>
      <c r="C66" s="1056" t="s">
        <v>1865</v>
      </c>
      <c r="D66" s="1057"/>
      <c r="E66" s="1073" t="str">
        <f>C66</f>
        <v>Dual Option PPO</v>
      </c>
      <c r="F66" s="1074"/>
      <c r="G66" s="299"/>
      <c r="H66" s="289"/>
      <c r="I66" s="289"/>
      <c r="J66" s="297"/>
    </row>
    <row r="67" spans="1:10" ht="14.25" hidden="1" customHeight="1" x14ac:dyDescent="0.2">
      <c r="A67" s="299"/>
      <c r="B67" s="307" t="s">
        <v>1747</v>
      </c>
      <c r="C67" s="1048" t="s">
        <v>359</v>
      </c>
      <c r="D67" s="1049"/>
      <c r="E67" s="1071" t="s">
        <v>359</v>
      </c>
      <c r="F67" s="1072"/>
      <c r="G67" s="299"/>
      <c r="H67" s="289"/>
      <c r="I67" s="289"/>
      <c r="J67" s="297"/>
    </row>
    <row r="68" spans="1:10" ht="14.25" hidden="1" customHeight="1" x14ac:dyDescent="0.2">
      <c r="A68" s="299"/>
      <c r="B68" s="307" t="s">
        <v>1748</v>
      </c>
      <c r="C68" s="1048" t="s">
        <v>360</v>
      </c>
      <c r="D68" s="1049"/>
      <c r="E68" s="1071" t="s">
        <v>360</v>
      </c>
      <c r="F68" s="1072"/>
      <c r="G68" s="299"/>
      <c r="H68" s="289"/>
      <c r="I68" s="289"/>
      <c r="J68" s="297"/>
    </row>
    <row r="69" spans="1:10" ht="14.25" hidden="1" customHeight="1" thickBot="1" x14ac:dyDescent="0.25">
      <c r="A69" s="299"/>
      <c r="B69" s="490" t="s">
        <v>361</v>
      </c>
      <c r="C69" s="1048" t="s">
        <v>1858</v>
      </c>
      <c r="D69" s="1049"/>
      <c r="E69" s="1081" t="s">
        <v>1858</v>
      </c>
      <c r="F69" s="1082"/>
      <c r="G69" s="299"/>
      <c r="H69" s="289"/>
      <c r="I69" s="289"/>
      <c r="J69" s="297"/>
    </row>
    <row r="70" spans="1:10" ht="14.25" hidden="1" customHeight="1" thickBot="1" x14ac:dyDescent="0.25">
      <c r="A70" s="299"/>
      <c r="B70" s="645"/>
      <c r="C70" s="1077" t="s">
        <v>1751</v>
      </c>
      <c r="D70" s="1078"/>
      <c r="E70" s="1064" t="s">
        <v>1752</v>
      </c>
      <c r="F70" s="1065"/>
      <c r="G70" s="299"/>
      <c r="H70" s="289"/>
      <c r="I70" s="289"/>
      <c r="J70" s="297"/>
    </row>
    <row r="71" spans="1:10" ht="14.25" hidden="1" customHeight="1" thickBot="1" x14ac:dyDescent="0.25">
      <c r="A71" s="299"/>
      <c r="B71" s="646"/>
      <c r="C71" s="623" t="s">
        <v>362</v>
      </c>
      <c r="D71" s="622" t="s">
        <v>1753</v>
      </c>
      <c r="E71" s="623" t="s">
        <v>362</v>
      </c>
      <c r="F71" s="622" t="s">
        <v>1753</v>
      </c>
      <c r="G71" s="299"/>
      <c r="H71" s="289"/>
      <c r="I71" s="289"/>
      <c r="J71" s="297"/>
    </row>
    <row r="72" spans="1:10" ht="14.25" hidden="1" customHeight="1" thickBot="1" x14ac:dyDescent="0.25">
      <c r="A72" s="299"/>
      <c r="B72" s="647" t="s">
        <v>363</v>
      </c>
      <c r="C72" s="631">
        <v>1</v>
      </c>
      <c r="D72" s="632">
        <v>1</v>
      </c>
      <c r="E72" s="631">
        <v>1</v>
      </c>
      <c r="F72" s="632">
        <v>1</v>
      </c>
      <c r="G72" s="299"/>
      <c r="H72" s="289"/>
      <c r="I72" s="289"/>
      <c r="J72" s="297"/>
    </row>
    <row r="73" spans="1:10" ht="14.25" hidden="1" customHeight="1" x14ac:dyDescent="0.2">
      <c r="A73" s="299"/>
      <c r="B73" s="491" t="s">
        <v>364</v>
      </c>
      <c r="C73" s="634">
        <v>0.8</v>
      </c>
      <c r="D73" s="635">
        <v>0.8</v>
      </c>
      <c r="E73" s="634">
        <v>0.8</v>
      </c>
      <c r="F73" s="635">
        <v>0.8</v>
      </c>
      <c r="G73" s="299"/>
      <c r="H73" s="289"/>
      <c r="I73" s="289"/>
      <c r="J73" s="297"/>
    </row>
    <row r="74" spans="1:10" ht="14.25" hidden="1" customHeight="1" x14ac:dyDescent="0.2">
      <c r="A74" s="299"/>
      <c r="B74" s="302" t="s">
        <v>365</v>
      </c>
      <c r="C74" s="603">
        <v>0.8</v>
      </c>
      <c r="D74" s="624">
        <v>0.8</v>
      </c>
      <c r="E74" s="603">
        <v>0.8</v>
      </c>
      <c r="F74" s="624">
        <v>0.8</v>
      </c>
      <c r="G74" s="299"/>
      <c r="H74" s="289"/>
      <c r="I74" s="289"/>
      <c r="J74" s="297"/>
    </row>
    <row r="75" spans="1:10" ht="14.25" hidden="1" customHeight="1" x14ac:dyDescent="0.2">
      <c r="A75" s="299"/>
      <c r="B75" s="302" t="s">
        <v>367</v>
      </c>
      <c r="C75" s="603">
        <v>0.8</v>
      </c>
      <c r="D75" s="624">
        <v>0.8</v>
      </c>
      <c r="E75" s="603">
        <v>0.8</v>
      </c>
      <c r="F75" s="624">
        <v>0.8</v>
      </c>
      <c r="G75" s="299"/>
      <c r="H75" s="289"/>
      <c r="I75" s="289"/>
      <c r="J75" s="297"/>
    </row>
    <row r="76" spans="1:10" ht="14.25" hidden="1" customHeight="1" thickBot="1" x14ac:dyDescent="0.25">
      <c r="A76" s="299"/>
      <c r="B76" s="619" t="s">
        <v>368</v>
      </c>
      <c r="C76" s="627">
        <v>0.8</v>
      </c>
      <c r="D76" s="625">
        <v>0.8</v>
      </c>
      <c r="E76" s="627">
        <v>0.8</v>
      </c>
      <c r="F76" s="625">
        <v>0.8</v>
      </c>
      <c r="G76" s="299"/>
      <c r="H76" s="289"/>
      <c r="I76" s="289"/>
      <c r="J76" s="297"/>
    </row>
    <row r="77" spans="1:10" ht="14.25" hidden="1" customHeight="1" x14ac:dyDescent="0.2">
      <c r="A77" s="299"/>
      <c r="B77" s="636" t="s">
        <v>370</v>
      </c>
      <c r="C77" s="637">
        <v>0.5</v>
      </c>
      <c r="D77" s="638">
        <v>0.5</v>
      </c>
      <c r="E77" s="637">
        <v>0.5</v>
      </c>
      <c r="F77" s="638">
        <v>0.5</v>
      </c>
      <c r="G77" s="299"/>
      <c r="H77" s="289"/>
      <c r="I77" s="289"/>
      <c r="J77" s="297"/>
    </row>
    <row r="78" spans="1:10" ht="14.25" hidden="1" customHeight="1" x14ac:dyDescent="0.2">
      <c r="A78" s="299"/>
      <c r="B78" s="309" t="s">
        <v>372</v>
      </c>
      <c r="C78" s="606">
        <v>0.5</v>
      </c>
      <c r="D78" s="617">
        <v>0.5</v>
      </c>
      <c r="E78" s="606">
        <v>0.5</v>
      </c>
      <c r="F78" s="617">
        <v>0.5</v>
      </c>
      <c r="G78" s="299"/>
      <c r="H78" s="289"/>
      <c r="I78" s="289"/>
      <c r="J78" s="297"/>
    </row>
    <row r="79" spans="1:10" ht="14.25" hidden="1" customHeight="1" thickBot="1" x14ac:dyDescent="0.25">
      <c r="A79" s="299"/>
      <c r="B79" s="618" t="s">
        <v>374</v>
      </c>
      <c r="C79" s="628">
        <v>0.5</v>
      </c>
      <c r="D79" s="626">
        <v>0.5</v>
      </c>
      <c r="E79" s="628">
        <v>0.5</v>
      </c>
      <c r="F79" s="626">
        <v>0.5</v>
      </c>
      <c r="G79" s="299"/>
      <c r="H79" s="289"/>
      <c r="I79" s="289"/>
      <c r="J79" s="297"/>
    </row>
    <row r="80" spans="1:10" ht="14.25" hidden="1" customHeight="1" x14ac:dyDescent="0.2">
      <c r="A80" s="299"/>
      <c r="B80" s="633" t="s">
        <v>377</v>
      </c>
      <c r="C80" s="1046" t="s">
        <v>366</v>
      </c>
      <c r="D80" s="1047"/>
      <c r="E80" s="1046" t="s">
        <v>366</v>
      </c>
      <c r="F80" s="1047"/>
      <c r="G80" s="299"/>
      <c r="H80" s="289"/>
      <c r="I80" s="289"/>
      <c r="J80" s="297"/>
    </row>
    <row r="81" spans="1:10" ht="14.25" hidden="1" customHeight="1" thickBot="1" x14ac:dyDescent="0.25">
      <c r="A81" s="299"/>
      <c r="B81" s="619" t="s">
        <v>379</v>
      </c>
      <c r="C81" s="1038" t="s">
        <v>1826</v>
      </c>
      <c r="D81" s="1039"/>
      <c r="E81" s="1038" t="s">
        <v>1826</v>
      </c>
      <c r="F81" s="1039"/>
      <c r="G81" s="299"/>
      <c r="H81" s="289"/>
      <c r="I81" s="289"/>
      <c r="J81" s="297"/>
    </row>
    <row r="82" spans="1:10" ht="14.25" hidden="1" customHeight="1" x14ac:dyDescent="0.2">
      <c r="A82" s="299"/>
      <c r="B82" s="636" t="s">
        <v>381</v>
      </c>
      <c r="C82" s="1046" t="s">
        <v>1859</v>
      </c>
      <c r="D82" s="1047"/>
      <c r="E82" s="1046" t="s">
        <v>1859</v>
      </c>
      <c r="F82" s="1047"/>
      <c r="G82" s="299"/>
      <c r="H82" s="289"/>
      <c r="I82" s="289"/>
      <c r="J82" s="297"/>
    </row>
    <row r="83" spans="1:10" ht="14.25" hidden="1" customHeight="1" x14ac:dyDescent="0.2">
      <c r="A83" s="299"/>
      <c r="B83" s="309" t="s">
        <v>383</v>
      </c>
      <c r="C83" s="1044">
        <v>0.5</v>
      </c>
      <c r="D83" s="1045"/>
      <c r="E83" s="1044">
        <v>0.5</v>
      </c>
      <c r="F83" s="1045"/>
      <c r="G83" s="299"/>
      <c r="H83" s="289"/>
      <c r="I83" s="289"/>
      <c r="J83" s="297"/>
    </row>
    <row r="84" spans="1:10" ht="14.25" hidden="1" customHeight="1" x14ac:dyDescent="0.2">
      <c r="A84" s="299"/>
      <c r="B84" s="309" t="s">
        <v>385</v>
      </c>
      <c r="C84" s="629">
        <v>1500</v>
      </c>
      <c r="D84" s="630">
        <v>1500</v>
      </c>
      <c r="E84" s="629">
        <v>1500</v>
      </c>
      <c r="F84" s="630">
        <v>1500</v>
      </c>
      <c r="G84" s="299"/>
      <c r="H84" s="289"/>
      <c r="I84" s="289"/>
      <c r="J84" s="297"/>
    </row>
    <row r="85" spans="1:10" ht="14.25" hidden="1" customHeight="1" x14ac:dyDescent="0.2">
      <c r="A85" s="299"/>
      <c r="B85" s="309" t="s">
        <v>386</v>
      </c>
      <c r="C85" s="1040" t="s">
        <v>366</v>
      </c>
      <c r="D85" s="1041"/>
      <c r="E85" s="1040" t="s">
        <v>366</v>
      </c>
      <c r="F85" s="1041"/>
      <c r="G85" s="299"/>
      <c r="H85" s="289"/>
      <c r="I85" s="289"/>
      <c r="J85" s="297"/>
    </row>
    <row r="86" spans="1:10" ht="14.25" hidden="1" customHeight="1" thickBot="1" x14ac:dyDescent="0.25">
      <c r="A86" s="299"/>
      <c r="B86" s="618" t="s">
        <v>379</v>
      </c>
      <c r="C86" s="1038" t="s">
        <v>1826</v>
      </c>
      <c r="D86" s="1039"/>
      <c r="E86" s="1038" t="s">
        <v>1826</v>
      </c>
      <c r="F86" s="1039"/>
      <c r="G86" s="299"/>
      <c r="H86" s="289"/>
      <c r="I86" s="289"/>
      <c r="J86" s="297"/>
    </row>
    <row r="87" spans="1:10" ht="14.25" hidden="1" customHeight="1" x14ac:dyDescent="0.2">
      <c r="A87" s="299"/>
      <c r="B87" s="633" t="s">
        <v>389</v>
      </c>
      <c r="C87" s="639">
        <v>50</v>
      </c>
      <c r="D87" s="640">
        <v>50</v>
      </c>
      <c r="E87" s="639">
        <v>50</v>
      </c>
      <c r="F87" s="640">
        <v>50</v>
      </c>
      <c r="G87" s="299"/>
      <c r="H87" s="289"/>
      <c r="I87" s="289"/>
      <c r="J87" s="297"/>
    </row>
    <row r="88" spans="1:10" ht="14.25" hidden="1" customHeight="1" x14ac:dyDescent="0.2">
      <c r="A88" s="299"/>
      <c r="B88" s="302" t="s">
        <v>390</v>
      </c>
      <c r="C88" s="604" t="s">
        <v>1827</v>
      </c>
      <c r="D88" s="616" t="s">
        <v>1827</v>
      </c>
      <c r="E88" s="604" t="s">
        <v>1827</v>
      </c>
      <c r="F88" s="616" t="s">
        <v>1827</v>
      </c>
      <c r="G88" s="299"/>
      <c r="H88" s="289"/>
      <c r="I88" s="289"/>
      <c r="J88" s="297"/>
    </row>
    <row r="89" spans="1:10" ht="14.25" hidden="1" customHeight="1" thickBot="1" x14ac:dyDescent="0.25">
      <c r="A89" s="299"/>
      <c r="B89" s="619" t="s">
        <v>391</v>
      </c>
      <c r="C89" s="620" t="s">
        <v>57</v>
      </c>
      <c r="D89" s="621" t="s">
        <v>57</v>
      </c>
      <c r="E89" s="620" t="s">
        <v>57</v>
      </c>
      <c r="F89" s="621" t="s">
        <v>57</v>
      </c>
      <c r="G89" s="299"/>
      <c r="H89" s="289"/>
      <c r="I89" s="289"/>
      <c r="J89" s="297"/>
    </row>
    <row r="90" spans="1:10" ht="14.25" hidden="1" customHeight="1" x14ac:dyDescent="0.2">
      <c r="A90" s="299"/>
      <c r="B90" s="636" t="s">
        <v>392</v>
      </c>
      <c r="C90" s="641">
        <v>1500</v>
      </c>
      <c r="D90" s="642">
        <v>1500</v>
      </c>
      <c r="E90" s="641">
        <v>1500</v>
      </c>
      <c r="F90" s="642">
        <v>1500</v>
      </c>
      <c r="G90" s="299"/>
      <c r="H90" s="289"/>
      <c r="I90" s="289"/>
      <c r="J90" s="297"/>
    </row>
    <row r="91" spans="1:10" ht="14.25" hidden="1" customHeight="1" thickBot="1" x14ac:dyDescent="0.25">
      <c r="A91" s="299"/>
      <c r="B91" s="618" t="s">
        <v>393</v>
      </c>
      <c r="C91" s="1050" t="s">
        <v>63</v>
      </c>
      <c r="D91" s="1051"/>
      <c r="E91" s="1050" t="s">
        <v>63</v>
      </c>
      <c r="F91" s="1051"/>
      <c r="G91" s="299"/>
      <c r="H91" s="289"/>
      <c r="I91" s="289"/>
      <c r="J91" s="297"/>
    </row>
    <row r="92" spans="1:10" ht="14.25" hidden="1" customHeight="1" thickBot="1" x14ac:dyDescent="0.25">
      <c r="A92" s="299"/>
      <c r="B92" s="643" t="s">
        <v>394</v>
      </c>
      <c r="C92" s="1052" t="s">
        <v>1866</v>
      </c>
      <c r="D92" s="1053"/>
      <c r="E92" s="1052" t="s">
        <v>1866</v>
      </c>
      <c r="F92" s="1053"/>
      <c r="G92" s="299"/>
      <c r="H92" s="289"/>
      <c r="I92" s="289"/>
      <c r="J92" s="297"/>
    </row>
    <row r="93" spans="1:10" ht="14.25" hidden="1" customHeight="1" thickBot="1" x14ac:dyDescent="0.25">
      <c r="A93" s="299"/>
      <c r="B93" s="644" t="s">
        <v>395</v>
      </c>
      <c r="C93" s="1054" t="s">
        <v>1828</v>
      </c>
      <c r="D93" s="1055"/>
      <c r="E93" s="1054" t="s">
        <v>1828</v>
      </c>
      <c r="F93" s="1055"/>
      <c r="G93" s="299"/>
      <c r="H93" s="289"/>
      <c r="I93" s="289"/>
      <c r="J93" s="297"/>
    </row>
    <row r="94" spans="1:10" ht="14.25" hidden="1" customHeight="1" x14ac:dyDescent="0.2">
      <c r="A94" s="299"/>
      <c r="B94" s="633" t="s">
        <v>396</v>
      </c>
      <c r="C94" s="1042" t="s">
        <v>397</v>
      </c>
      <c r="D94" s="1043"/>
      <c r="E94" s="1042" t="s">
        <v>397</v>
      </c>
      <c r="F94" s="1043"/>
      <c r="G94" s="299"/>
      <c r="H94" s="289"/>
      <c r="I94" s="289"/>
      <c r="J94" s="297"/>
    </row>
    <row r="95" spans="1:10" ht="14.25" hidden="1" customHeight="1" x14ac:dyDescent="0.2">
      <c r="A95" s="299"/>
      <c r="B95" s="302" t="s">
        <v>398</v>
      </c>
      <c r="C95" s="1062" t="s">
        <v>308</v>
      </c>
      <c r="D95" s="1063"/>
      <c r="E95" s="1062" t="s">
        <v>308</v>
      </c>
      <c r="F95" s="1063"/>
      <c r="G95" s="299"/>
      <c r="H95" s="289"/>
      <c r="I95" s="289"/>
      <c r="J95" s="297"/>
    </row>
    <row r="96" spans="1:10" ht="14.25" hidden="1" customHeight="1" x14ac:dyDescent="0.2">
      <c r="A96" s="299"/>
      <c r="B96" s="302" t="s">
        <v>399</v>
      </c>
      <c r="C96" s="1062" t="s">
        <v>1829</v>
      </c>
      <c r="D96" s="1063"/>
      <c r="E96" s="1062" t="s">
        <v>1829</v>
      </c>
      <c r="F96" s="1063"/>
      <c r="G96" s="299"/>
      <c r="H96" s="289"/>
      <c r="I96" s="289"/>
      <c r="J96" s="297"/>
    </row>
    <row r="97" spans="1:10" ht="14.25" hidden="1" customHeight="1" x14ac:dyDescent="0.2">
      <c r="A97" s="299"/>
      <c r="B97" s="302" t="s">
        <v>400</v>
      </c>
      <c r="C97" s="1062" t="s">
        <v>1829</v>
      </c>
      <c r="D97" s="1063"/>
      <c r="E97" s="1062" t="s">
        <v>1829</v>
      </c>
      <c r="F97" s="1063"/>
      <c r="G97" s="299"/>
      <c r="H97" s="289"/>
      <c r="I97" s="289"/>
      <c r="J97" s="297"/>
    </row>
    <row r="98" spans="1:10" ht="14.25" hidden="1" customHeight="1" x14ac:dyDescent="0.2">
      <c r="A98" s="299"/>
      <c r="B98" s="302" t="s">
        <v>401</v>
      </c>
      <c r="C98" s="1062" t="s">
        <v>1750</v>
      </c>
      <c r="D98" s="1063"/>
      <c r="E98" s="1062" t="s">
        <v>1750</v>
      </c>
      <c r="F98" s="1063"/>
      <c r="G98" s="299"/>
      <c r="H98" s="289"/>
      <c r="I98" s="289"/>
      <c r="J98" s="297"/>
    </row>
    <row r="99" spans="1:10" ht="14.25" hidden="1" customHeight="1" x14ac:dyDescent="0.2">
      <c r="A99" s="299"/>
      <c r="B99" s="302" t="s">
        <v>402</v>
      </c>
      <c r="C99" s="1062" t="s">
        <v>403</v>
      </c>
      <c r="D99" s="1063"/>
      <c r="E99" s="1062" t="s">
        <v>403</v>
      </c>
      <c r="F99" s="1063"/>
      <c r="G99" s="299"/>
      <c r="H99" s="289"/>
      <c r="I99" s="289"/>
      <c r="J99" s="297"/>
    </row>
    <row r="100" spans="1:10" ht="14.25" hidden="1" customHeight="1" x14ac:dyDescent="0.2">
      <c r="A100" s="299"/>
      <c r="B100" s="302" t="s">
        <v>404</v>
      </c>
      <c r="C100" s="1058" t="s">
        <v>1749</v>
      </c>
      <c r="D100" s="1059"/>
      <c r="E100" s="1058" t="s">
        <v>1749</v>
      </c>
      <c r="F100" s="1059"/>
      <c r="G100" s="299"/>
      <c r="H100" s="289"/>
      <c r="I100" s="289"/>
      <c r="J100" s="297"/>
    </row>
    <row r="101" spans="1:10" ht="14.25" hidden="1" customHeight="1" thickBot="1" x14ac:dyDescent="0.25">
      <c r="A101" s="299"/>
      <c r="B101" s="303" t="s">
        <v>405</v>
      </c>
      <c r="C101" s="1060" t="s">
        <v>406</v>
      </c>
      <c r="D101" s="1061"/>
      <c r="E101" s="1060" t="s">
        <v>406</v>
      </c>
      <c r="F101" s="1061"/>
      <c r="G101" s="299"/>
      <c r="H101" s="289"/>
      <c r="I101" s="289"/>
      <c r="J101" s="297"/>
    </row>
    <row r="102" spans="1:10" ht="14.25" hidden="1" customHeight="1" thickTop="1" thickBot="1" x14ac:dyDescent="0.25">
      <c r="A102" s="299"/>
      <c r="B102" s="299"/>
      <c r="C102" s="299"/>
      <c r="D102" s="299"/>
      <c r="E102" s="299"/>
      <c r="F102" s="299"/>
      <c r="G102" s="299"/>
      <c r="H102" s="289"/>
      <c r="I102" s="289"/>
      <c r="J102" s="297"/>
    </row>
    <row r="103" spans="1:10" ht="20" hidden="1" thickTop="1" x14ac:dyDescent="0.2">
      <c r="A103" s="299"/>
      <c r="B103" s="1087" t="s">
        <v>1760</v>
      </c>
      <c r="C103" s="1088"/>
      <c r="D103" s="1088"/>
      <c r="E103" s="1088"/>
      <c r="F103" s="1089"/>
      <c r="G103" s="299"/>
      <c r="H103" s="289"/>
      <c r="I103" s="289"/>
      <c r="J103" s="297"/>
    </row>
    <row r="104" spans="1:10" ht="14.25" hidden="1" customHeight="1" x14ac:dyDescent="0.2">
      <c r="A104" s="299"/>
      <c r="B104" s="307" t="s">
        <v>1754</v>
      </c>
      <c r="C104" s="1056" t="s">
        <v>1865</v>
      </c>
      <c r="D104" s="1057"/>
      <c r="E104" s="1073" t="str">
        <f>C104</f>
        <v>Dual Option PPO</v>
      </c>
      <c r="F104" s="1074"/>
      <c r="G104" s="299"/>
      <c r="H104" s="289"/>
      <c r="I104" s="289"/>
      <c r="J104" s="297"/>
    </row>
    <row r="105" spans="1:10" ht="14.25" hidden="1" customHeight="1" x14ac:dyDescent="0.2">
      <c r="A105" s="299"/>
      <c r="B105" s="307" t="s">
        <v>1747</v>
      </c>
      <c r="C105" s="1048" t="s">
        <v>359</v>
      </c>
      <c r="D105" s="1049"/>
      <c r="E105" s="1071" t="s">
        <v>359</v>
      </c>
      <c r="F105" s="1072"/>
      <c r="G105" s="299"/>
      <c r="H105" s="289"/>
      <c r="I105" s="289"/>
      <c r="J105" s="297"/>
    </row>
    <row r="106" spans="1:10" ht="14.25" hidden="1" customHeight="1" x14ac:dyDescent="0.2">
      <c r="A106" s="299"/>
      <c r="B106" s="307" t="s">
        <v>1748</v>
      </c>
      <c r="C106" s="1048" t="s">
        <v>360</v>
      </c>
      <c r="D106" s="1049"/>
      <c r="E106" s="1071" t="s">
        <v>360</v>
      </c>
      <c r="F106" s="1072"/>
      <c r="G106" s="299"/>
      <c r="H106" s="289"/>
      <c r="I106" s="289"/>
      <c r="J106" s="297"/>
    </row>
    <row r="107" spans="1:10" ht="14.25" hidden="1" customHeight="1" thickBot="1" x14ac:dyDescent="0.25">
      <c r="A107" s="299"/>
      <c r="B107" s="307" t="s">
        <v>361</v>
      </c>
      <c r="C107" s="1048" t="s">
        <v>1886</v>
      </c>
      <c r="D107" s="1049"/>
      <c r="E107" s="1081" t="s">
        <v>1886</v>
      </c>
      <c r="F107" s="1082"/>
      <c r="G107" s="299"/>
      <c r="H107" s="289"/>
      <c r="I107" s="289"/>
      <c r="J107" s="297"/>
    </row>
    <row r="108" spans="1:10" ht="14.25" hidden="1" customHeight="1" thickBot="1" x14ac:dyDescent="0.25">
      <c r="A108" s="299"/>
      <c r="B108" s="645"/>
      <c r="C108" s="1077" t="s">
        <v>1751</v>
      </c>
      <c r="D108" s="1078"/>
      <c r="E108" s="1064" t="s">
        <v>1752</v>
      </c>
      <c r="F108" s="1065"/>
      <c r="G108" s="299"/>
      <c r="H108" s="289"/>
      <c r="I108" s="289"/>
      <c r="J108" s="297"/>
    </row>
    <row r="109" spans="1:10" ht="14.25" hidden="1" customHeight="1" thickBot="1" x14ac:dyDescent="0.25">
      <c r="A109" s="299"/>
      <c r="B109" s="646"/>
      <c r="C109" s="623" t="s">
        <v>362</v>
      </c>
      <c r="D109" s="622" t="s">
        <v>1753</v>
      </c>
      <c r="E109" s="623" t="s">
        <v>362</v>
      </c>
      <c r="F109" s="622" t="s">
        <v>1753</v>
      </c>
      <c r="G109" s="299"/>
      <c r="H109" s="289"/>
      <c r="I109" s="289"/>
      <c r="J109" s="297"/>
    </row>
    <row r="110" spans="1:10" ht="14.25" hidden="1" customHeight="1" thickBot="1" x14ac:dyDescent="0.25">
      <c r="A110" s="299"/>
      <c r="B110" s="647" t="s">
        <v>363</v>
      </c>
      <c r="C110" s="631">
        <v>1</v>
      </c>
      <c r="D110" s="632">
        <v>1</v>
      </c>
      <c r="E110" s="631">
        <v>1</v>
      </c>
      <c r="F110" s="632">
        <v>1</v>
      </c>
      <c r="G110" s="299"/>
      <c r="H110" s="289"/>
      <c r="I110" s="289"/>
      <c r="J110" s="297"/>
    </row>
    <row r="111" spans="1:10" ht="14.25" hidden="1" customHeight="1" x14ac:dyDescent="0.2">
      <c r="A111" s="299"/>
      <c r="B111" s="491" t="s">
        <v>364</v>
      </c>
      <c r="C111" s="634">
        <v>0.9</v>
      </c>
      <c r="D111" s="635">
        <v>0.8</v>
      </c>
      <c r="E111" s="634">
        <v>0.9</v>
      </c>
      <c r="F111" s="635">
        <v>0.8</v>
      </c>
      <c r="G111" s="299"/>
      <c r="H111" s="289"/>
      <c r="I111" s="289"/>
      <c r="J111" s="297"/>
    </row>
    <row r="112" spans="1:10" ht="14.25" hidden="1" customHeight="1" x14ac:dyDescent="0.2">
      <c r="A112" s="299"/>
      <c r="B112" s="302" t="s">
        <v>365</v>
      </c>
      <c r="C112" s="603">
        <v>0.9</v>
      </c>
      <c r="D112" s="624">
        <v>0.8</v>
      </c>
      <c r="E112" s="603">
        <v>0.9</v>
      </c>
      <c r="F112" s="624">
        <v>0.8</v>
      </c>
      <c r="G112" s="299"/>
      <c r="H112" s="289"/>
      <c r="I112" s="289"/>
      <c r="J112" s="297"/>
    </row>
    <row r="113" spans="1:10" ht="14.25" hidden="1" customHeight="1" x14ac:dyDescent="0.2">
      <c r="A113" s="299"/>
      <c r="B113" s="302" t="s">
        <v>367</v>
      </c>
      <c r="C113" s="603">
        <v>0.9</v>
      </c>
      <c r="D113" s="624">
        <v>0.8</v>
      </c>
      <c r="E113" s="603">
        <v>0.9</v>
      </c>
      <c r="F113" s="624">
        <v>0.8</v>
      </c>
      <c r="G113" s="299"/>
      <c r="H113" s="289"/>
      <c r="I113" s="289"/>
      <c r="J113" s="297"/>
    </row>
    <row r="114" spans="1:10" ht="14.25" hidden="1" customHeight="1" thickBot="1" x14ac:dyDescent="0.25">
      <c r="A114" s="299"/>
      <c r="B114" s="619" t="s">
        <v>368</v>
      </c>
      <c r="C114" s="627">
        <v>0.9</v>
      </c>
      <c r="D114" s="625">
        <v>0.8</v>
      </c>
      <c r="E114" s="627">
        <v>0.9</v>
      </c>
      <c r="F114" s="625">
        <v>0.8</v>
      </c>
      <c r="G114" s="299"/>
      <c r="H114" s="289"/>
      <c r="I114" s="289"/>
      <c r="J114" s="297"/>
    </row>
    <row r="115" spans="1:10" ht="14.25" hidden="1" customHeight="1" x14ac:dyDescent="0.2">
      <c r="A115" s="299"/>
      <c r="B115" s="636" t="s">
        <v>370</v>
      </c>
      <c r="C115" s="637">
        <v>0.6</v>
      </c>
      <c r="D115" s="638">
        <v>0.5</v>
      </c>
      <c r="E115" s="637">
        <v>0.6</v>
      </c>
      <c r="F115" s="638">
        <v>0.5</v>
      </c>
      <c r="G115" s="299"/>
      <c r="H115" s="289"/>
      <c r="I115" s="289"/>
      <c r="J115" s="297"/>
    </row>
    <row r="116" spans="1:10" ht="14.25" hidden="1" customHeight="1" x14ac:dyDescent="0.2">
      <c r="A116" s="299"/>
      <c r="B116" s="309" t="s">
        <v>372</v>
      </c>
      <c r="C116" s="606">
        <v>0.6</v>
      </c>
      <c r="D116" s="617">
        <v>0.5</v>
      </c>
      <c r="E116" s="606">
        <v>0.6</v>
      </c>
      <c r="F116" s="617">
        <v>0.5</v>
      </c>
      <c r="G116" s="299"/>
      <c r="H116" s="289"/>
      <c r="I116" s="289"/>
      <c r="J116" s="297"/>
    </row>
    <row r="117" spans="1:10" ht="14.25" hidden="1" customHeight="1" thickBot="1" x14ac:dyDescent="0.25">
      <c r="A117" s="299"/>
      <c r="B117" s="618" t="s">
        <v>374</v>
      </c>
      <c r="C117" s="628">
        <v>0.6</v>
      </c>
      <c r="D117" s="626">
        <v>0.5</v>
      </c>
      <c r="E117" s="628">
        <v>0.6</v>
      </c>
      <c r="F117" s="626">
        <v>0.5</v>
      </c>
      <c r="G117" s="299"/>
      <c r="H117" s="289"/>
      <c r="I117" s="289"/>
      <c r="J117" s="297"/>
    </row>
    <row r="118" spans="1:10" ht="14.25" hidden="1" customHeight="1" x14ac:dyDescent="0.2">
      <c r="A118" s="299"/>
      <c r="B118" s="633" t="s">
        <v>377</v>
      </c>
      <c r="C118" s="1046" t="s">
        <v>366</v>
      </c>
      <c r="D118" s="1047"/>
      <c r="E118" s="1046" t="s">
        <v>366</v>
      </c>
      <c r="F118" s="1047"/>
      <c r="G118" s="299"/>
      <c r="H118" s="289"/>
      <c r="I118" s="289"/>
      <c r="J118" s="297"/>
    </row>
    <row r="119" spans="1:10" ht="14.25" hidden="1" customHeight="1" thickBot="1" x14ac:dyDescent="0.25">
      <c r="A119" s="299"/>
      <c r="B119" s="619" t="s">
        <v>379</v>
      </c>
      <c r="C119" s="1038" t="s">
        <v>1826</v>
      </c>
      <c r="D119" s="1039"/>
      <c r="E119" s="1038" t="s">
        <v>1826</v>
      </c>
      <c r="F119" s="1039"/>
      <c r="G119" s="299"/>
      <c r="H119" s="289"/>
      <c r="I119" s="289"/>
      <c r="J119" s="297"/>
    </row>
    <row r="120" spans="1:10" ht="14.25" hidden="1" customHeight="1" x14ac:dyDescent="0.2">
      <c r="A120" s="299"/>
      <c r="B120" s="636" t="s">
        <v>381</v>
      </c>
      <c r="C120" s="1046" t="s">
        <v>1859</v>
      </c>
      <c r="D120" s="1047"/>
      <c r="E120" s="1046" t="s">
        <v>1859</v>
      </c>
      <c r="F120" s="1047"/>
      <c r="G120" s="299"/>
      <c r="H120" s="289"/>
      <c r="I120" s="289"/>
      <c r="J120" s="297"/>
    </row>
    <row r="121" spans="1:10" ht="14.25" hidden="1" customHeight="1" x14ac:dyDescent="0.2">
      <c r="A121" s="299"/>
      <c r="B121" s="309" t="s">
        <v>383</v>
      </c>
      <c r="C121" s="1044">
        <v>0.5</v>
      </c>
      <c r="D121" s="1045"/>
      <c r="E121" s="1044">
        <v>0.5</v>
      </c>
      <c r="F121" s="1045"/>
      <c r="G121" s="299"/>
      <c r="H121" s="289"/>
      <c r="I121" s="289"/>
      <c r="J121" s="297"/>
    </row>
    <row r="122" spans="1:10" ht="14.25" hidden="1" customHeight="1" x14ac:dyDescent="0.2">
      <c r="A122" s="299"/>
      <c r="B122" s="309" t="s">
        <v>385</v>
      </c>
      <c r="C122" s="629">
        <v>1500</v>
      </c>
      <c r="D122" s="630">
        <v>1500</v>
      </c>
      <c r="E122" s="629">
        <v>1500</v>
      </c>
      <c r="F122" s="630">
        <v>1500</v>
      </c>
      <c r="G122" s="299"/>
      <c r="H122" s="289"/>
      <c r="I122" s="289"/>
      <c r="J122" s="297"/>
    </row>
    <row r="123" spans="1:10" ht="14.25" hidden="1" customHeight="1" x14ac:dyDescent="0.2">
      <c r="A123" s="299"/>
      <c r="B123" s="309" t="s">
        <v>386</v>
      </c>
      <c r="C123" s="1040" t="s">
        <v>366</v>
      </c>
      <c r="D123" s="1041"/>
      <c r="E123" s="1040" t="s">
        <v>366</v>
      </c>
      <c r="F123" s="1041"/>
      <c r="G123" s="299"/>
      <c r="H123" s="289"/>
      <c r="I123" s="289"/>
      <c r="J123" s="297"/>
    </row>
    <row r="124" spans="1:10" ht="14.25" hidden="1" customHeight="1" thickBot="1" x14ac:dyDescent="0.25">
      <c r="A124" s="299"/>
      <c r="B124" s="618" t="s">
        <v>379</v>
      </c>
      <c r="C124" s="1038" t="s">
        <v>1826</v>
      </c>
      <c r="D124" s="1039"/>
      <c r="E124" s="1038" t="s">
        <v>1826</v>
      </c>
      <c r="F124" s="1039"/>
      <c r="G124" s="299"/>
      <c r="H124" s="289"/>
      <c r="I124" s="289"/>
      <c r="J124" s="297"/>
    </row>
    <row r="125" spans="1:10" ht="14.25" hidden="1" customHeight="1" x14ac:dyDescent="0.2">
      <c r="A125" s="299"/>
      <c r="B125" s="633" t="s">
        <v>389</v>
      </c>
      <c r="C125" s="639">
        <v>50</v>
      </c>
      <c r="D125" s="640">
        <v>50</v>
      </c>
      <c r="E125" s="639">
        <v>50</v>
      </c>
      <c r="F125" s="640">
        <v>50</v>
      </c>
      <c r="G125" s="299"/>
      <c r="H125" s="289"/>
      <c r="I125" s="289"/>
      <c r="J125" s="297"/>
    </row>
    <row r="126" spans="1:10" ht="14.25" hidden="1" customHeight="1" x14ac:dyDescent="0.2">
      <c r="A126" s="299"/>
      <c r="B126" s="302" t="s">
        <v>390</v>
      </c>
      <c r="C126" s="604" t="s">
        <v>1827</v>
      </c>
      <c r="D126" s="616" t="s">
        <v>1827</v>
      </c>
      <c r="E126" s="604" t="s">
        <v>1827</v>
      </c>
      <c r="F126" s="616" t="s">
        <v>1827</v>
      </c>
      <c r="G126" s="299"/>
      <c r="H126" s="289"/>
      <c r="I126" s="289"/>
      <c r="J126" s="297"/>
    </row>
    <row r="127" spans="1:10" ht="14.25" hidden="1" customHeight="1" thickBot="1" x14ac:dyDescent="0.25">
      <c r="A127" s="299"/>
      <c r="B127" s="619" t="s">
        <v>391</v>
      </c>
      <c r="C127" s="620" t="s">
        <v>57</v>
      </c>
      <c r="D127" s="621" t="s">
        <v>57</v>
      </c>
      <c r="E127" s="620" t="s">
        <v>57</v>
      </c>
      <c r="F127" s="621" t="s">
        <v>57</v>
      </c>
      <c r="G127" s="299"/>
      <c r="H127" s="289"/>
      <c r="I127" s="289"/>
      <c r="J127" s="297"/>
    </row>
    <row r="128" spans="1:10" ht="14.25" hidden="1" customHeight="1" x14ac:dyDescent="0.2">
      <c r="A128" s="299"/>
      <c r="B128" s="636" t="s">
        <v>392</v>
      </c>
      <c r="C128" s="641">
        <v>1500</v>
      </c>
      <c r="D128" s="642">
        <v>1500</v>
      </c>
      <c r="E128" s="641">
        <v>1500</v>
      </c>
      <c r="F128" s="642">
        <v>1500</v>
      </c>
      <c r="G128" s="299"/>
      <c r="H128" s="289"/>
      <c r="I128" s="289"/>
      <c r="J128" s="297"/>
    </row>
    <row r="129" spans="1:10" ht="14.25" hidden="1" customHeight="1" thickBot="1" x14ac:dyDescent="0.25">
      <c r="A129" s="299"/>
      <c r="B129" s="618" t="s">
        <v>393</v>
      </c>
      <c r="C129" s="1050" t="s">
        <v>63</v>
      </c>
      <c r="D129" s="1051"/>
      <c r="E129" s="1050" t="s">
        <v>63</v>
      </c>
      <c r="F129" s="1051"/>
      <c r="G129" s="299"/>
      <c r="H129" s="289"/>
      <c r="I129" s="289"/>
      <c r="J129" s="297"/>
    </row>
    <row r="130" spans="1:10" ht="14.25" hidden="1" customHeight="1" thickBot="1" x14ac:dyDescent="0.25">
      <c r="A130" s="299"/>
      <c r="B130" s="643" t="s">
        <v>394</v>
      </c>
      <c r="C130" s="1052" t="s">
        <v>1866</v>
      </c>
      <c r="D130" s="1053"/>
      <c r="E130" s="1052" t="s">
        <v>1866</v>
      </c>
      <c r="F130" s="1053"/>
      <c r="G130" s="299"/>
      <c r="H130" s="289"/>
      <c r="I130" s="289"/>
      <c r="J130" s="297"/>
    </row>
    <row r="131" spans="1:10" ht="14.25" hidden="1" customHeight="1" thickBot="1" x14ac:dyDescent="0.25">
      <c r="A131" s="299"/>
      <c r="B131" s="644" t="s">
        <v>395</v>
      </c>
      <c r="C131" s="1054" t="s">
        <v>1828</v>
      </c>
      <c r="D131" s="1055"/>
      <c r="E131" s="1054" t="s">
        <v>1828</v>
      </c>
      <c r="F131" s="1055"/>
      <c r="G131" s="299"/>
      <c r="H131" s="289"/>
      <c r="I131" s="289"/>
      <c r="J131" s="297"/>
    </row>
    <row r="132" spans="1:10" ht="14.25" hidden="1" customHeight="1" x14ac:dyDescent="0.2">
      <c r="A132" s="299"/>
      <c r="B132" s="633" t="s">
        <v>396</v>
      </c>
      <c r="C132" s="1042" t="s">
        <v>397</v>
      </c>
      <c r="D132" s="1043"/>
      <c r="E132" s="1042" t="s">
        <v>397</v>
      </c>
      <c r="F132" s="1043"/>
      <c r="G132" s="299"/>
      <c r="H132" s="289"/>
      <c r="I132" s="289"/>
      <c r="J132" s="297"/>
    </row>
    <row r="133" spans="1:10" ht="14.25" hidden="1" customHeight="1" x14ac:dyDescent="0.2">
      <c r="A133" s="299"/>
      <c r="B133" s="302" t="s">
        <v>398</v>
      </c>
      <c r="C133" s="1062" t="s">
        <v>308</v>
      </c>
      <c r="D133" s="1063"/>
      <c r="E133" s="1062" t="s">
        <v>308</v>
      </c>
      <c r="F133" s="1063"/>
      <c r="G133" s="299"/>
      <c r="H133" s="289"/>
      <c r="I133" s="289"/>
      <c r="J133" s="297"/>
    </row>
    <row r="134" spans="1:10" ht="14.25" hidden="1" customHeight="1" x14ac:dyDescent="0.2">
      <c r="A134" s="299"/>
      <c r="B134" s="302" t="s">
        <v>399</v>
      </c>
      <c r="C134" s="1062" t="s">
        <v>1829</v>
      </c>
      <c r="D134" s="1063"/>
      <c r="E134" s="1062" t="s">
        <v>1829</v>
      </c>
      <c r="F134" s="1063"/>
      <c r="G134" s="299"/>
      <c r="H134" s="289"/>
      <c r="I134" s="289"/>
      <c r="J134" s="297"/>
    </row>
    <row r="135" spans="1:10" ht="14.25" hidden="1" customHeight="1" x14ac:dyDescent="0.2">
      <c r="A135" s="299"/>
      <c r="B135" s="302" t="s">
        <v>400</v>
      </c>
      <c r="C135" s="1062" t="s">
        <v>1829</v>
      </c>
      <c r="D135" s="1063"/>
      <c r="E135" s="1062" t="s">
        <v>1829</v>
      </c>
      <c r="F135" s="1063"/>
      <c r="G135" s="299"/>
      <c r="H135" s="289"/>
      <c r="I135" s="289"/>
      <c r="J135" s="297"/>
    </row>
    <row r="136" spans="1:10" ht="14.25" hidden="1" customHeight="1" x14ac:dyDescent="0.2">
      <c r="A136" s="299"/>
      <c r="B136" s="302" t="s">
        <v>401</v>
      </c>
      <c r="C136" s="1062" t="s">
        <v>1750</v>
      </c>
      <c r="D136" s="1063"/>
      <c r="E136" s="1062" t="s">
        <v>1750</v>
      </c>
      <c r="F136" s="1063"/>
      <c r="G136" s="299"/>
      <c r="H136" s="289"/>
      <c r="I136" s="289"/>
      <c r="J136" s="297"/>
    </row>
    <row r="137" spans="1:10" ht="14.25" hidden="1" customHeight="1" x14ac:dyDescent="0.2">
      <c r="A137" s="299"/>
      <c r="B137" s="302" t="s">
        <v>402</v>
      </c>
      <c r="C137" s="1062" t="s">
        <v>403</v>
      </c>
      <c r="D137" s="1063"/>
      <c r="E137" s="1062" t="s">
        <v>403</v>
      </c>
      <c r="F137" s="1063"/>
      <c r="G137" s="299"/>
      <c r="H137" s="289"/>
      <c r="I137" s="289"/>
      <c r="J137" s="297"/>
    </row>
    <row r="138" spans="1:10" ht="14.25" hidden="1" customHeight="1" x14ac:dyDescent="0.2">
      <c r="A138" s="299"/>
      <c r="B138" s="302" t="s">
        <v>404</v>
      </c>
      <c r="C138" s="1058" t="s">
        <v>1749</v>
      </c>
      <c r="D138" s="1059"/>
      <c r="E138" s="1058" t="s">
        <v>1749</v>
      </c>
      <c r="F138" s="1059"/>
      <c r="G138" s="299"/>
      <c r="H138" s="289"/>
      <c r="I138" s="289"/>
      <c r="J138" s="297"/>
    </row>
    <row r="139" spans="1:10" ht="14.25" hidden="1" customHeight="1" thickBot="1" x14ac:dyDescent="0.25">
      <c r="A139" s="299"/>
      <c r="B139" s="303" t="s">
        <v>405</v>
      </c>
      <c r="C139" s="1060" t="s">
        <v>406</v>
      </c>
      <c r="D139" s="1061"/>
      <c r="E139" s="1060" t="s">
        <v>406</v>
      </c>
      <c r="F139" s="1061"/>
      <c r="G139" s="299"/>
      <c r="H139" s="289"/>
      <c r="I139" s="289"/>
      <c r="J139" s="297"/>
    </row>
    <row r="140" spans="1:10" ht="14.25" hidden="1" customHeight="1" thickTop="1" x14ac:dyDescent="0.2">
      <c r="A140" s="299"/>
      <c r="B140" s="299"/>
      <c r="C140" s="299"/>
      <c r="D140" s="299"/>
      <c r="E140" s="299"/>
      <c r="F140" s="299"/>
      <c r="G140" s="299"/>
      <c r="H140" s="289"/>
      <c r="I140" s="289"/>
      <c r="J140" s="297"/>
    </row>
    <row r="141" spans="1:10" ht="14.25" customHeight="1" x14ac:dyDescent="0.2">
      <c r="J141" s="297"/>
    </row>
    <row r="142" spans="1:10" ht="14.25" customHeight="1" x14ac:dyDescent="0.2">
      <c r="J142" s="297"/>
    </row>
    <row r="143" spans="1:10" ht="14.25" customHeight="1" x14ac:dyDescent="0.2">
      <c r="J143" s="297"/>
    </row>
  </sheetData>
  <mergeCells count="136">
    <mergeCell ref="B4:C4"/>
    <mergeCell ref="E56:F56"/>
    <mergeCell ref="E57:F57"/>
    <mergeCell ref="C56:D56"/>
    <mergeCell ref="C57:D57"/>
    <mergeCell ref="C108:D108"/>
    <mergeCell ref="C95:D95"/>
    <mergeCell ref="C100:D100"/>
    <mergeCell ref="C101:D101"/>
    <mergeCell ref="B103:F103"/>
    <mergeCell ref="C91:D91"/>
    <mergeCell ref="C92:D92"/>
    <mergeCell ref="C94:D94"/>
    <mergeCell ref="C96:D96"/>
    <mergeCell ref="C97:D97"/>
    <mergeCell ref="C99:D99"/>
    <mergeCell ref="E99:F99"/>
    <mergeCell ref="E100:F100"/>
    <mergeCell ref="E101:F101"/>
    <mergeCell ref="E104:F104"/>
    <mergeCell ref="E105:F105"/>
    <mergeCell ref="E106:F106"/>
    <mergeCell ref="E107:F107"/>
    <mergeCell ref="B27:F27"/>
    <mergeCell ref="E55:F55"/>
    <mergeCell ref="E66:F66"/>
    <mergeCell ref="E67:F67"/>
    <mergeCell ref="E68:F68"/>
    <mergeCell ref="E69:F69"/>
    <mergeCell ref="E70:F70"/>
    <mergeCell ref="C63:D63"/>
    <mergeCell ref="E63:F63"/>
    <mergeCell ref="C61:D61"/>
    <mergeCell ref="E61:F61"/>
    <mergeCell ref="C62:D62"/>
    <mergeCell ref="C70:D70"/>
    <mergeCell ref="C69:D69"/>
    <mergeCell ref="C68:D68"/>
    <mergeCell ref="E32:F32"/>
    <mergeCell ref="E42:F42"/>
    <mergeCell ref="E43:F43"/>
    <mergeCell ref="E44:F44"/>
    <mergeCell ref="E45:F45"/>
    <mergeCell ref="E47:F47"/>
    <mergeCell ref="E48:F48"/>
    <mergeCell ref="E53:F53"/>
    <mergeCell ref="E54:F54"/>
    <mergeCell ref="C29:D29"/>
    <mergeCell ref="E29:F29"/>
    <mergeCell ref="C28:D28"/>
    <mergeCell ref="E28:F28"/>
    <mergeCell ref="C58:D58"/>
    <mergeCell ref="E58:F58"/>
    <mergeCell ref="C59:D59"/>
    <mergeCell ref="E59:F59"/>
    <mergeCell ref="C60:D60"/>
    <mergeCell ref="E60:F60"/>
    <mergeCell ref="C32:D32"/>
    <mergeCell ref="C31:D31"/>
    <mergeCell ref="C55:D55"/>
    <mergeCell ref="C54:D54"/>
    <mergeCell ref="C53:D53"/>
    <mergeCell ref="C48:D48"/>
    <mergeCell ref="C47:D47"/>
    <mergeCell ref="C45:D45"/>
    <mergeCell ref="C44:D44"/>
    <mergeCell ref="C43:D43"/>
    <mergeCell ref="C42:D42"/>
    <mergeCell ref="C30:D30"/>
    <mergeCell ref="E30:F30"/>
    <mergeCell ref="E31:F31"/>
    <mergeCell ref="E92:F92"/>
    <mergeCell ref="E93:F93"/>
    <mergeCell ref="E94:F94"/>
    <mergeCell ref="E95:F95"/>
    <mergeCell ref="E96:F96"/>
    <mergeCell ref="E97:F97"/>
    <mergeCell ref="E98:F98"/>
    <mergeCell ref="E108:F108"/>
    <mergeCell ref="E62:F62"/>
    <mergeCell ref="E81:F81"/>
    <mergeCell ref="E82:F82"/>
    <mergeCell ref="E83:F83"/>
    <mergeCell ref="E85:F85"/>
    <mergeCell ref="E86:F86"/>
    <mergeCell ref="E91:F91"/>
    <mergeCell ref="B65:F65"/>
    <mergeCell ref="C67:D67"/>
    <mergeCell ref="C66:D66"/>
    <mergeCell ref="E80:F80"/>
    <mergeCell ref="C98:D98"/>
    <mergeCell ref="C93:D93"/>
    <mergeCell ref="C83:D83"/>
    <mergeCell ref="C82:D82"/>
    <mergeCell ref="C80:D80"/>
    <mergeCell ref="C139:D139"/>
    <mergeCell ref="E139:F139"/>
    <mergeCell ref="C133:D133"/>
    <mergeCell ref="E133:F133"/>
    <mergeCell ref="C134:D134"/>
    <mergeCell ref="E134:F134"/>
    <mergeCell ref="C135:D135"/>
    <mergeCell ref="E135:F135"/>
    <mergeCell ref="C136:D136"/>
    <mergeCell ref="E136:F136"/>
    <mergeCell ref="C137:D137"/>
    <mergeCell ref="E137:F137"/>
    <mergeCell ref="E124:F124"/>
    <mergeCell ref="C129:D129"/>
    <mergeCell ref="E129:F129"/>
    <mergeCell ref="C130:D130"/>
    <mergeCell ref="E130:F130"/>
    <mergeCell ref="C131:D131"/>
    <mergeCell ref="E131:F131"/>
    <mergeCell ref="C104:D104"/>
    <mergeCell ref="C138:D138"/>
    <mergeCell ref="E138:F138"/>
    <mergeCell ref="E132:F132"/>
    <mergeCell ref="E118:F118"/>
    <mergeCell ref="E119:F119"/>
    <mergeCell ref="E120:F120"/>
    <mergeCell ref="E121:F121"/>
    <mergeCell ref="E123:F123"/>
    <mergeCell ref="C81:D81"/>
    <mergeCell ref="C85:D85"/>
    <mergeCell ref="C86:D86"/>
    <mergeCell ref="C132:D132"/>
    <mergeCell ref="C123:D123"/>
    <mergeCell ref="C121:D121"/>
    <mergeCell ref="C120:D120"/>
    <mergeCell ref="C119:D119"/>
    <mergeCell ref="C118:D118"/>
    <mergeCell ref="C107:D107"/>
    <mergeCell ref="C106:D106"/>
    <mergeCell ref="C105:D105"/>
    <mergeCell ref="C124:D124"/>
  </mergeCells>
  <dataValidations count="27">
    <dataValidation type="list" allowBlank="1" showInputMessage="1" showErrorMessage="1" sqref="C45:F45 C83:F83 C121:F121">
      <formula1>"100%,95%,90%,85%,80%,75%,70%,65%,60%,55%,50%,40%,0%"</formula1>
    </dataValidation>
    <dataValidation type="list" allowBlank="1" showInputMessage="1" showErrorMessage="1" sqref="C44:F44 C82:F82 C120:F120">
      <formula1>"None, Dependent Children Only, Adult &amp; Dependent Children"</formula1>
    </dataValidation>
    <dataValidation type="list" allowBlank="1" showInputMessage="1" showErrorMessage="1" sqref="C89:F89 C86:F86 C51:F51 C48:F48 C127:F127 C124:F124">
      <formula1>"Yes, No"</formula1>
    </dataValidation>
    <dataValidation type="list" allowBlank="1" showInputMessage="1" showErrorMessage="1" sqref="C90:F90 C84:F84 C122:F122 C52:F52 C128:F128 C46:F46">
      <formula1>"$500,$750,$1000,$1250,$1500,$1750,$2000,$2250,$2500"</formula1>
    </dataValidation>
    <dataValidation type="list" allowBlank="1" showInputMessage="1" showErrorMessage="1" sqref="C49:F49 C87:F87 C125:F125">
      <formula1>"$0,$15,$20,$25,$30,$35,$40,$45,$50,$55,$60,$65,$70,$75,$80,$85,$90,$95,$100,$100 lifetime per person"</formula1>
    </dataValidation>
    <dataValidation type="list" allowBlank="1" showInputMessage="1" showErrorMessage="1" sqref="C50:F50 C88:F88 C126:F126">
      <formula1>"2x Individual,3x Individual,No Limit"</formula1>
    </dataValidation>
    <dataValidation type="list" allowBlank="1" showInputMessage="1" showErrorMessage="1" sqref="C91:F91 C81:F81 C53:F53 C43:F43 C129:F129 C119:F119">
      <formula1>"No,Yes"</formula1>
    </dataValidation>
    <dataValidation type="list" allowBlank="1" showInputMessage="1" showErrorMessage="1" sqref="C54:F54 C92:F92 C130:F130">
      <formula1>"50th percentile,60th percentile,70th percentile,80th percentile,90th percentile,Prime (MAC)"</formula1>
    </dataValidation>
    <dataValidation type="list" allowBlank="1" showInputMessage="1" showErrorMessage="1" sqref="C55:F55 C93:F93 C131:F131">
      <formula1>"Children to Age 19/23 if FT Student,Children to Age 26,Children to Age 28,Children to Age 30"</formula1>
    </dataValidation>
    <dataValidation type="list" allowBlank="1" showInputMessage="1" showErrorMessage="1" sqref="C56:F56 C94:F94 C132:F132">
      <formula1>"Standard-Covered as Composites,Alternated to Amalgam Benefit"</formula1>
    </dataValidation>
    <dataValidation type="list" allowBlank="1" showInputMessage="1" showErrorMessage="1" sqref="C57:F59 C95:F97 C133:F135">
      <formula1>"Standard-Covered,Not Covered"</formula1>
    </dataValidation>
    <dataValidation type="list" allowBlank="1" showInputMessage="1" showErrorMessage="1" sqref="C60:F60 C98:F98 C136:F136">
      <formula1>"Standard-Covered as Diagnostic &amp; Preventive,Covered as Basic Service"</formula1>
    </dataValidation>
    <dataValidation type="list" allowBlank="1" showInputMessage="1" showErrorMessage="1" sqref="C61:F61 C99:F99 C137:F137">
      <formula1>"Standard-Coverage Every 5 Years,Coverage Every 3 Years"</formula1>
    </dataValidation>
    <dataValidation type="list" allowBlank="1" showInputMessage="1" showErrorMessage="1" sqref="C62:F62 C100:F100 C138:F138">
      <formula1>"Standard-1x per 12 mnths &lt;18Y/O;1X per 24mnths &gt;=18Y/O,1x per 12mnths for all ages,1x per calendar year for all ages,2x every 12 months for all ages"</formula1>
    </dataValidation>
    <dataValidation type="list" allowBlank="1" showInputMessage="1" showErrorMessage="1" sqref="C63:F63 C101:F101 C139:F139">
      <formula1>"Standard- 24 Month Waiting Period applies"</formula1>
    </dataValidation>
    <dataValidation type="list" allowBlank="1" showInputMessage="1" showErrorMessage="1" sqref="C34:F41 C72:F79 C110:F117">
      <formula1>"100%,95%,90%,85%,80%,75%,70%,65%,60%,55%,50%,45%,40%,35%,30%,25%,20%,15%,10%,5%,0%"</formula1>
    </dataValidation>
    <dataValidation type="list" allowBlank="1" showInputMessage="1" showErrorMessage="1" sqref="C14">
      <formula1>"2,3,4"</formula1>
    </dataValidation>
    <dataValidation type="list" allowBlank="1" showInputMessage="1" showErrorMessage="1" sqref="C13">
      <formula1>"Fully Insured"</formula1>
    </dataValidation>
    <dataValidation type="list" allowBlank="1" showInputMessage="1" showErrorMessage="1" sqref="C29 E29 C67 E67 C105 E105">
      <formula1>"Complete, Prime"</formula1>
    </dataValidation>
    <dataValidation type="list" allowBlank="1" showInputMessage="1" showErrorMessage="1" sqref="C68 C30 E68 E30 C106 E106">
      <formula1>"Calendar Year-Std,Contract Year"</formula1>
    </dataValidation>
    <dataValidation type="list" allowBlank="1" showInputMessage="1" showErrorMessage="1" sqref="C15">
      <formula1>"12 months, 24 months, 12 &amp; 24 months"</formula1>
    </dataValidation>
    <dataValidation type="list" allowBlank="1" showInputMessage="1" showErrorMessage="1" sqref="C18">
      <formula1>"1,2,3"</formula1>
    </dataValidation>
    <dataValidation type="list" allowBlank="1" showInputMessage="1" showErrorMessage="1" sqref="C28 E28 C66 E66 C104 E104">
      <formula1>"Select Option Type,Single Option PPO,Dual Option PPO, Dual Option with Dental Net, Voluntary"</formula1>
    </dataValidation>
    <dataValidation type="list" allowBlank="1" showInputMessage="1" showErrorMessage="1" sqref="C31:F31 C69:F69 C107:F107">
      <formula1>"Select One,Active,Passive"</formula1>
    </dataValidation>
    <dataValidation type="list" allowBlank="1" showInputMessage="1" showErrorMessage="1" sqref="C19">
      <formula1>"None,ALL PLANS,2000A,2000B,2000C,VOL 2000A,VOL 2000B,VOL 2000C"</formula1>
    </dataValidation>
    <dataValidation type="list" allowBlank="1" showInputMessage="1" showErrorMessage="1" sqref="C42:F42 C80:F80 C118:F118">
      <formula1>WaitingPeriods</formula1>
    </dataValidation>
    <dataValidation type="list" allowBlank="1" showInputMessage="1" showErrorMessage="1" sqref="C47:F47 C85:F85 C123:F123">
      <formula1>"No Waiting Periods,12 Months"</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99" customWidth="1"/>
    <col min="2" max="2" width="40.5" style="399" customWidth="1"/>
    <col min="3" max="3" width="5.5" style="399" customWidth="1"/>
    <col min="4" max="5" width="12" style="399" customWidth="1"/>
    <col min="6" max="6" width="37.5" style="399" customWidth="1"/>
    <col min="7" max="16384" width="9.1640625" style="399"/>
  </cols>
  <sheetData>
    <row r="1" spans="1:9" ht="12.75" customHeight="1" x14ac:dyDescent="0.2">
      <c r="A1" s="1090"/>
      <c r="B1" s="1090"/>
      <c r="C1" s="1090"/>
      <c r="D1" s="1090"/>
    </row>
    <row r="2" spans="1:9" ht="15.75" customHeight="1" x14ac:dyDescent="0.2">
      <c r="B2" s="400" t="s">
        <v>600</v>
      </c>
    </row>
    <row r="3" spans="1:9" ht="9" customHeight="1" thickBot="1" x14ac:dyDescent="0.25">
      <c r="E3" s="401"/>
    </row>
    <row r="4" spans="1:9" ht="14" thickBot="1" x14ac:dyDescent="0.2">
      <c r="B4" s="402" t="s">
        <v>103</v>
      </c>
      <c r="C4" s="1091">
        <v>0</v>
      </c>
      <c r="D4" s="1092"/>
      <c r="E4" s="1092"/>
      <c r="F4" s="1093"/>
    </row>
    <row r="5" spans="1:9" ht="9.75" customHeight="1" x14ac:dyDescent="0.2">
      <c r="B5" s="403"/>
      <c r="C5" s="404"/>
      <c r="D5" s="404"/>
    </row>
    <row r="6" spans="1:9" x14ac:dyDescent="0.15">
      <c r="C6" s="405"/>
      <c r="F6" s="406" t="s">
        <v>603</v>
      </c>
    </row>
    <row r="7" spans="1:9" x14ac:dyDescent="0.15">
      <c r="B7" s="407" t="s">
        <v>1772</v>
      </c>
      <c r="C7" s="408"/>
      <c r="D7" s="409"/>
      <c r="F7" s="399" t="s">
        <v>1773</v>
      </c>
      <c r="G7" s="410">
        <v>0</v>
      </c>
    </row>
    <row r="8" spans="1:9" x14ac:dyDescent="0.15">
      <c r="B8" s="409" t="s">
        <v>601</v>
      </c>
      <c r="C8" s="408"/>
      <c r="D8" s="477">
        <f>INTAKE!N5</f>
        <v>182</v>
      </c>
      <c r="F8" s="399" t="s">
        <v>1774</v>
      </c>
      <c r="G8" s="410"/>
    </row>
    <row r="9" spans="1:9" x14ac:dyDescent="0.15">
      <c r="F9" s="399" t="s">
        <v>1775</v>
      </c>
      <c r="G9" s="410"/>
    </row>
    <row r="10" spans="1:9" x14ac:dyDescent="0.15">
      <c r="B10" s="409" t="s">
        <v>603</v>
      </c>
      <c r="C10" s="408"/>
      <c r="D10" s="411">
        <f>INTAKE!N7</f>
        <v>0</v>
      </c>
      <c r="F10" s="399" t="s">
        <v>1776</v>
      </c>
      <c r="G10" s="410"/>
    </row>
    <row r="11" spans="1:9" x14ac:dyDescent="0.15">
      <c r="B11" s="412" t="s">
        <v>605</v>
      </c>
      <c r="C11" s="408"/>
      <c r="D11" s="413">
        <f>+D8-D10</f>
        <v>182</v>
      </c>
      <c r="F11" s="399" t="s">
        <v>1777</v>
      </c>
      <c r="G11" s="410"/>
    </row>
    <row r="12" spans="1:9" x14ac:dyDescent="0.15">
      <c r="F12" s="399" t="s">
        <v>1778</v>
      </c>
      <c r="G12" s="410"/>
    </row>
    <row r="13" spans="1:9" x14ac:dyDescent="0.15">
      <c r="B13" s="178" t="s">
        <v>607</v>
      </c>
      <c r="D13" s="414">
        <v>50</v>
      </c>
      <c r="F13" s="399" t="s">
        <v>1779</v>
      </c>
      <c r="G13" s="410"/>
    </row>
    <row r="14" spans="1:9" x14ac:dyDescent="0.15">
      <c r="F14" s="399" t="s">
        <v>1780</v>
      </c>
      <c r="G14" s="415">
        <f>+G7+G8+G9+G10+G11+G12+G13</f>
        <v>0</v>
      </c>
    </row>
    <row r="15" spans="1:9" x14ac:dyDescent="0.15">
      <c r="B15" s="399" t="s">
        <v>609</v>
      </c>
      <c r="D15" s="414">
        <v>40</v>
      </c>
    </row>
    <row r="16" spans="1:9" x14ac:dyDescent="0.15">
      <c r="G16" s="415">
        <f>D11-D17</f>
        <v>92</v>
      </c>
      <c r="I16" s="399" t="s">
        <v>1781</v>
      </c>
    </row>
    <row r="17" spans="2:9" x14ac:dyDescent="0.15">
      <c r="B17" s="412" t="s">
        <v>611</v>
      </c>
      <c r="C17" s="408"/>
      <c r="D17" s="413">
        <f>+D15+D13</f>
        <v>90</v>
      </c>
      <c r="F17" s="416" t="str">
        <f>IF(D17&gt;D11,"Total enrolled can not exceed total net eligible employees","")</f>
        <v/>
      </c>
      <c r="I17" s="399" t="s">
        <v>1782</v>
      </c>
    </row>
    <row r="18" spans="2:9" x14ac:dyDescent="0.15">
      <c r="D18" s="399" t="s">
        <v>1783</v>
      </c>
    </row>
    <row r="19" spans="2:9" x14ac:dyDescent="0.15">
      <c r="B19" s="409" t="s">
        <v>612</v>
      </c>
      <c r="C19" s="408"/>
      <c r="D19" s="417">
        <f>ROUND(IF(D17=0,0,+D15/D17),2)</f>
        <v>0.44</v>
      </c>
      <c r="F19" s="416"/>
    </row>
    <row r="20" spans="2:9" x14ac:dyDescent="0.15">
      <c r="B20" s="409"/>
      <c r="C20" s="408"/>
      <c r="D20" s="409"/>
    </row>
    <row r="21" spans="2:9" ht="12.75" customHeight="1" x14ac:dyDescent="0.15">
      <c r="B21" s="409" t="s">
        <v>614</v>
      </c>
      <c r="C21" s="408"/>
      <c r="D21" s="417">
        <f>ROUND(IF(D17=0,0,D17/D8),2)</f>
        <v>0.49</v>
      </c>
      <c r="F21" s="416" t="str">
        <f>IF(D17=0,"",IF(D21&lt;0.495,"Participation based on total eligibles is less than 50%",""))</f>
        <v>Participation based on total eligibles is less than 50%</v>
      </c>
    </row>
    <row r="23" spans="2:9" ht="12.75" customHeight="1" x14ac:dyDescent="0.15">
      <c r="B23" s="409" t="s">
        <v>615</v>
      </c>
      <c r="C23" s="408"/>
      <c r="D23" s="417">
        <f>ROUND(IF(D17=0,0,D17/D11),2)</f>
        <v>0.49</v>
      </c>
    </row>
    <row r="24" spans="2:9" ht="15" x14ac:dyDescent="0.2">
      <c r="B24" s="409"/>
      <c r="C24" s="418"/>
      <c r="D24" s="419"/>
    </row>
    <row r="25" spans="2:9" x14ac:dyDescent="0.15">
      <c r="B25" s="420" t="s">
        <v>616</v>
      </c>
      <c r="C25" s="408"/>
      <c r="D25" s="421" t="s">
        <v>63</v>
      </c>
    </row>
    <row r="26" spans="2:9" x14ac:dyDescent="0.15">
      <c r="B26" s="409"/>
      <c r="C26" s="408"/>
      <c r="D26" s="409"/>
    </row>
    <row r="27" spans="2:9" ht="16" x14ac:dyDescent="0.2">
      <c r="B27" s="422" t="str">
        <f>IF(D25="Yes","Quote using Total Census (combined Kaiser and Non-Kaiser lives) and apply below adjustments","Quote using Non-Kaiser Census and apply below adjustments")</f>
        <v>Quote using Non-Kaiser Census and apply below adjustments</v>
      </c>
      <c r="C27" s="418"/>
      <c r="D27" s="423"/>
      <c r="F27" s="416"/>
    </row>
    <row r="28" spans="2:9" ht="14" thickBot="1" x14ac:dyDescent="0.2">
      <c r="B28" s="424"/>
      <c r="C28" s="418"/>
      <c r="D28" s="425" t="s">
        <v>602</v>
      </c>
      <c r="E28" s="426" t="s">
        <v>577</v>
      </c>
      <c r="F28" s="416"/>
    </row>
    <row r="29" spans="2:9" x14ac:dyDescent="0.15">
      <c r="B29" s="424" t="s">
        <v>604</v>
      </c>
      <c r="C29" s="418"/>
      <c r="D29" s="427">
        <f>IF($D$8=0,"",'PART ADJ 2'!$C$5)</f>
        <v>1</v>
      </c>
      <c r="E29" s="428">
        <f>D29</f>
        <v>1</v>
      </c>
      <c r="F29" s="429" t="str">
        <f>IF(D19&gt;0.5000001,"Kaiser enrollment exceeds 50% of total enrolled",IF(D21&lt;0.495,"Participation is less than 50% of total eligibles",IF(D23&lt;0.745,"Participation is less than 75% of net-eligibles","")))</f>
        <v>Participation is less than 50% of total eligibles</v>
      </c>
    </row>
    <row r="30" spans="2:9" x14ac:dyDescent="0.15">
      <c r="B30" s="430" t="s">
        <v>606</v>
      </c>
      <c r="C30" s="431"/>
      <c r="D30" s="432">
        <f>IF($D$8=0,"",IF($D$25="Yes",'PART ADJ 2'!$D$9,'PART ADJ 2'!$C$9))</f>
        <v>1</v>
      </c>
      <c r="E30" s="433">
        <f>IF($D$8=0,"",IF($D$25="Yes",'PART ADJ 2'!$D$10,'PART ADJ 2'!$C$10))</f>
        <v>1</v>
      </c>
      <c r="F30" s="416"/>
    </row>
    <row r="31" spans="2:9" x14ac:dyDescent="0.15">
      <c r="B31" s="434" t="s">
        <v>608</v>
      </c>
      <c r="C31" s="435"/>
      <c r="D31" s="436">
        <f>IF($D$8=0,"",ROUND(D29*D30,2))</f>
        <v>1</v>
      </c>
      <c r="E31" s="437">
        <f>IF($D$8=0,"",ROUND(E29*E30,2))</f>
        <v>1</v>
      </c>
      <c r="F31" s="416"/>
    </row>
    <row r="32" spans="2:9" ht="14" thickBot="1" x14ac:dyDescent="0.2">
      <c r="B32" s="429" t="s">
        <v>610</v>
      </c>
      <c r="D32" s="438">
        <f>IF(D31="","",D31-1)</f>
        <v>0</v>
      </c>
      <c r="E32" s="439">
        <f>IF(E31="","",E31-1)</f>
        <v>0</v>
      </c>
    </row>
    <row r="34" spans="2:2" x14ac:dyDescent="0.15">
      <c r="B34" s="429" t="s">
        <v>613</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440"/>
    <col min="3" max="3" width="21" style="440" customWidth="1"/>
    <col min="4" max="5" width="9.1640625" style="440"/>
    <col min="6" max="8" width="19.1640625" style="440" customWidth="1"/>
    <col min="9" max="16384" width="9.1640625" style="440"/>
  </cols>
  <sheetData>
    <row r="1" spans="1:16" s="190" customFormat="1" ht="21" x14ac:dyDescent="0.15">
      <c r="A1" s="317" t="s">
        <v>1821</v>
      </c>
    </row>
    <row r="2" spans="1:16" x14ac:dyDescent="0.2">
      <c r="F2" s="440" t="s">
        <v>1784</v>
      </c>
    </row>
    <row r="3" spans="1:16" x14ac:dyDescent="0.2">
      <c r="F3" s="440" t="s">
        <v>1785</v>
      </c>
      <c r="G3" s="440" t="s">
        <v>1786</v>
      </c>
    </row>
    <row r="5" spans="1:16" x14ac:dyDescent="0.2">
      <c r="B5" s="440" t="s">
        <v>1787</v>
      </c>
      <c r="C5" s="440" t="s">
        <v>1788</v>
      </c>
      <c r="F5" s="441">
        <v>0.85</v>
      </c>
      <c r="G5" s="440" t="s">
        <v>1789</v>
      </c>
      <c r="J5" s="440">
        <v>0.92</v>
      </c>
      <c r="K5" s="440">
        <v>1.02</v>
      </c>
    </row>
    <row r="6" spans="1:16" x14ac:dyDescent="0.2">
      <c r="B6" s="440" t="s">
        <v>1790</v>
      </c>
      <c r="C6" s="440" t="s">
        <v>577</v>
      </c>
      <c r="F6" s="442">
        <v>0.93</v>
      </c>
      <c r="G6" s="440">
        <v>1</v>
      </c>
      <c r="J6" s="440">
        <v>0.96</v>
      </c>
      <c r="K6" s="440">
        <v>1</v>
      </c>
    </row>
    <row r="7" spans="1:16" x14ac:dyDescent="0.2">
      <c r="B7" s="440" t="s">
        <v>1791</v>
      </c>
      <c r="C7" s="440" t="s">
        <v>1792</v>
      </c>
      <c r="F7" s="440">
        <v>0.89</v>
      </c>
      <c r="J7" s="440">
        <v>0.94</v>
      </c>
      <c r="K7" s="440">
        <v>1.01</v>
      </c>
    </row>
    <row r="11" spans="1:16" x14ac:dyDescent="0.2">
      <c r="F11" s="1094" t="s">
        <v>1793</v>
      </c>
      <c r="G11" s="1094"/>
      <c r="H11" s="1094"/>
      <c r="J11" s="1094" t="s">
        <v>1794</v>
      </c>
      <c r="K11" s="1094"/>
      <c r="L11" s="1094"/>
      <c r="N11" s="1094" t="s">
        <v>1795</v>
      </c>
      <c r="O11" s="1094"/>
      <c r="P11" s="1094"/>
    </row>
    <row r="12" spans="1:16" x14ac:dyDescent="0.2">
      <c r="A12" s="440" t="s">
        <v>1796</v>
      </c>
      <c r="B12" s="440" t="s">
        <v>1797</v>
      </c>
      <c r="C12" s="440" t="s">
        <v>1798</v>
      </c>
      <c r="D12" s="440" t="s">
        <v>1799</v>
      </c>
      <c r="E12" s="440" t="s">
        <v>1800</v>
      </c>
      <c r="F12" s="440" t="s">
        <v>1801</v>
      </c>
      <c r="G12" s="440" t="s">
        <v>1802</v>
      </c>
      <c r="H12" s="440" t="s">
        <v>1803</v>
      </c>
      <c r="J12" s="440" t="s">
        <v>1801</v>
      </c>
      <c r="K12" s="440" t="s">
        <v>1802</v>
      </c>
      <c r="L12" s="440" t="s">
        <v>1803</v>
      </c>
      <c r="N12" s="440" t="s">
        <v>1801</v>
      </c>
      <c r="O12" s="440" t="s">
        <v>1802</v>
      </c>
      <c r="P12" s="440" t="s">
        <v>1803</v>
      </c>
    </row>
    <row r="13" spans="1:16" x14ac:dyDescent="0.2">
      <c r="B13" s="440" t="s">
        <v>1787</v>
      </c>
      <c r="C13" s="440" t="s">
        <v>1804</v>
      </c>
      <c r="D13" s="440" t="s">
        <v>1805</v>
      </c>
      <c r="E13" s="440">
        <v>0</v>
      </c>
      <c r="F13" s="440">
        <v>0.85</v>
      </c>
      <c r="G13" s="440">
        <v>1.02</v>
      </c>
      <c r="H13" s="440">
        <v>2.5</v>
      </c>
      <c r="I13" s="443"/>
      <c r="J13" s="440">
        <v>0.92</v>
      </c>
      <c r="K13" s="440">
        <v>1.02</v>
      </c>
      <c r="L13" s="440">
        <v>2.5</v>
      </c>
      <c r="N13" s="444">
        <f t="shared" ref="N13:P76" si="0">F13/J13-1</f>
        <v>-7.6086956521739246E-2</v>
      </c>
      <c r="O13" s="444">
        <f t="shared" si="0"/>
        <v>0</v>
      </c>
      <c r="P13" s="444">
        <f t="shared" si="0"/>
        <v>0</v>
      </c>
    </row>
    <row r="14" spans="1:16" x14ac:dyDescent="0.2">
      <c r="B14" s="440" t="s">
        <v>1787</v>
      </c>
      <c r="C14" s="440" t="s">
        <v>1804</v>
      </c>
      <c r="D14" s="440" t="s">
        <v>1805</v>
      </c>
      <c r="E14" s="440">
        <v>1</v>
      </c>
      <c r="F14" s="440">
        <v>0.85</v>
      </c>
      <c r="G14" s="440">
        <v>1.02</v>
      </c>
      <c r="H14" s="440">
        <v>2.4</v>
      </c>
      <c r="I14" s="443"/>
      <c r="J14" s="440">
        <v>0.92</v>
      </c>
      <c r="K14" s="440">
        <v>1.02</v>
      </c>
      <c r="L14" s="440">
        <v>2.5</v>
      </c>
      <c r="N14" s="444">
        <f t="shared" si="0"/>
        <v>-7.6086956521739246E-2</v>
      </c>
      <c r="O14" s="444">
        <f t="shared" si="0"/>
        <v>0</v>
      </c>
      <c r="P14" s="444">
        <f t="shared" si="0"/>
        <v>-4.0000000000000036E-2</v>
      </c>
    </row>
    <row r="15" spans="1:16" x14ac:dyDescent="0.2">
      <c r="B15" s="440" t="s">
        <v>1787</v>
      </c>
      <c r="C15" s="440" t="s">
        <v>1804</v>
      </c>
      <c r="D15" s="440" t="s">
        <v>1805</v>
      </c>
      <c r="E15" s="440">
        <v>2</v>
      </c>
      <c r="F15" s="440">
        <v>0.85</v>
      </c>
      <c r="G15" s="440">
        <v>1.02</v>
      </c>
      <c r="H15" s="440">
        <v>2.2999999999999998</v>
      </c>
      <c r="I15" s="443"/>
      <c r="J15" s="440">
        <v>0.92</v>
      </c>
      <c r="K15" s="440">
        <v>1.02</v>
      </c>
      <c r="L15" s="440">
        <v>2.5</v>
      </c>
      <c r="N15" s="444">
        <f t="shared" si="0"/>
        <v>-7.6086956521739246E-2</v>
      </c>
      <c r="O15" s="444">
        <f t="shared" si="0"/>
        <v>0</v>
      </c>
      <c r="P15" s="444">
        <f t="shared" si="0"/>
        <v>-8.0000000000000071E-2</v>
      </c>
    </row>
    <row r="16" spans="1:16" x14ac:dyDescent="0.2">
      <c r="B16" s="440" t="s">
        <v>1787</v>
      </c>
      <c r="C16" s="440" t="s">
        <v>1804</v>
      </c>
      <c r="D16" s="440" t="s">
        <v>1805</v>
      </c>
      <c r="E16" s="440">
        <v>3</v>
      </c>
      <c r="F16" s="440">
        <v>0.85</v>
      </c>
      <c r="G16" s="440">
        <v>1.02</v>
      </c>
      <c r="H16" s="440">
        <v>2.2000000000000002</v>
      </c>
      <c r="I16" s="443"/>
      <c r="J16" s="440">
        <v>0.92</v>
      </c>
      <c r="K16" s="440">
        <v>1.02</v>
      </c>
      <c r="L16" s="440">
        <v>2.5</v>
      </c>
      <c r="N16" s="444">
        <f t="shared" si="0"/>
        <v>-7.6086956521739246E-2</v>
      </c>
      <c r="O16" s="444">
        <f t="shared" si="0"/>
        <v>0</v>
      </c>
      <c r="P16" s="444">
        <f t="shared" si="0"/>
        <v>-0.11999999999999988</v>
      </c>
    </row>
    <row r="17" spans="2:16" x14ac:dyDescent="0.2">
      <c r="B17" s="440" t="s">
        <v>1787</v>
      </c>
      <c r="C17" s="440" t="s">
        <v>1804</v>
      </c>
      <c r="D17" s="440" t="s">
        <v>1805</v>
      </c>
      <c r="E17" s="440">
        <v>4</v>
      </c>
      <c r="F17" s="440">
        <v>0.85</v>
      </c>
      <c r="G17" s="440">
        <v>1.02</v>
      </c>
      <c r="H17" s="440">
        <v>2.15</v>
      </c>
      <c r="I17" s="443"/>
      <c r="J17" s="440">
        <v>0.92</v>
      </c>
      <c r="K17" s="440">
        <v>1.02</v>
      </c>
      <c r="L17" s="440">
        <v>2.4</v>
      </c>
      <c r="N17" s="444">
        <f t="shared" si="0"/>
        <v>-7.6086956521739246E-2</v>
      </c>
      <c r="O17" s="444">
        <f t="shared" si="0"/>
        <v>0</v>
      </c>
      <c r="P17" s="444">
        <f t="shared" si="0"/>
        <v>-0.10416666666666663</v>
      </c>
    </row>
    <row r="18" spans="2:16" x14ac:dyDescent="0.2">
      <c r="B18" s="440" t="s">
        <v>1787</v>
      </c>
      <c r="C18" s="440" t="s">
        <v>1804</v>
      </c>
      <c r="D18" s="440" t="s">
        <v>1805</v>
      </c>
      <c r="E18" s="440">
        <v>5</v>
      </c>
      <c r="F18" s="440">
        <v>0.85</v>
      </c>
      <c r="G18" s="440">
        <v>1.02</v>
      </c>
      <c r="H18" s="440">
        <v>2.1</v>
      </c>
      <c r="I18" s="443"/>
      <c r="J18" s="440">
        <v>0.92</v>
      </c>
      <c r="K18" s="440">
        <v>1.02</v>
      </c>
      <c r="L18" s="440">
        <v>2.2999999999999998</v>
      </c>
      <c r="N18" s="444">
        <f t="shared" si="0"/>
        <v>-7.6086956521739246E-2</v>
      </c>
      <c r="O18" s="444">
        <f t="shared" si="0"/>
        <v>0</v>
      </c>
      <c r="P18" s="444">
        <f t="shared" si="0"/>
        <v>-8.6956521739130377E-2</v>
      </c>
    </row>
    <row r="19" spans="2:16" x14ac:dyDescent="0.2">
      <c r="B19" s="440" t="s">
        <v>1787</v>
      </c>
      <c r="C19" s="440" t="s">
        <v>1804</v>
      </c>
      <c r="D19" s="440" t="s">
        <v>1805</v>
      </c>
      <c r="E19" s="440">
        <v>6</v>
      </c>
      <c r="F19" s="440">
        <v>0.85</v>
      </c>
      <c r="G19" s="440">
        <v>1.02</v>
      </c>
      <c r="H19" s="440">
        <v>2.0499999999999998</v>
      </c>
      <c r="I19" s="443"/>
      <c r="J19" s="440">
        <v>0.92</v>
      </c>
      <c r="K19" s="440">
        <v>1.02</v>
      </c>
      <c r="L19" s="440">
        <v>2.2000000000000002</v>
      </c>
      <c r="N19" s="444">
        <f t="shared" si="0"/>
        <v>-7.6086956521739246E-2</v>
      </c>
      <c r="O19" s="444">
        <f t="shared" si="0"/>
        <v>0</v>
      </c>
      <c r="P19" s="444">
        <f t="shared" si="0"/>
        <v>-6.8181818181818343E-2</v>
      </c>
    </row>
    <row r="20" spans="2:16" x14ac:dyDescent="0.2">
      <c r="B20" s="440" t="s">
        <v>1787</v>
      </c>
      <c r="C20" s="440" t="s">
        <v>1804</v>
      </c>
      <c r="D20" s="440" t="s">
        <v>1805</v>
      </c>
      <c r="E20" s="440">
        <v>7</v>
      </c>
      <c r="F20" s="440">
        <v>0.85</v>
      </c>
      <c r="G20" s="440">
        <v>1.02</v>
      </c>
      <c r="H20" s="440">
        <v>2</v>
      </c>
      <c r="I20" s="443"/>
      <c r="J20" s="440">
        <v>0.92</v>
      </c>
      <c r="K20" s="440">
        <v>1.02</v>
      </c>
      <c r="L20" s="440">
        <v>2.1</v>
      </c>
      <c r="N20" s="444">
        <f t="shared" si="0"/>
        <v>-7.6086956521739246E-2</v>
      </c>
      <c r="O20" s="444">
        <f t="shared" si="0"/>
        <v>0</v>
      </c>
      <c r="P20" s="444">
        <f t="shared" si="0"/>
        <v>-4.7619047619047672E-2</v>
      </c>
    </row>
    <row r="21" spans="2:16" x14ac:dyDescent="0.2">
      <c r="B21" s="440" t="s">
        <v>1787</v>
      </c>
      <c r="C21" s="440" t="s">
        <v>1804</v>
      </c>
      <c r="D21" s="440" t="s">
        <v>1805</v>
      </c>
      <c r="E21" s="440">
        <v>8</v>
      </c>
      <c r="F21" s="440">
        <v>0.85</v>
      </c>
      <c r="G21" s="440">
        <v>1.02</v>
      </c>
      <c r="H21" s="440">
        <v>1.95</v>
      </c>
      <c r="I21" s="443"/>
      <c r="J21" s="440">
        <v>0.92</v>
      </c>
      <c r="K21" s="440">
        <v>1.02</v>
      </c>
      <c r="L21" s="440">
        <v>2.0499999999999998</v>
      </c>
      <c r="N21" s="444">
        <f t="shared" si="0"/>
        <v>-7.6086956521739246E-2</v>
      </c>
      <c r="O21" s="444">
        <f t="shared" si="0"/>
        <v>0</v>
      </c>
      <c r="P21" s="444">
        <f t="shared" si="0"/>
        <v>-4.8780487804877981E-2</v>
      </c>
    </row>
    <row r="22" spans="2:16" x14ac:dyDescent="0.2">
      <c r="B22" s="440" t="s">
        <v>1787</v>
      </c>
      <c r="C22" s="440" t="s">
        <v>1804</v>
      </c>
      <c r="D22" s="440" t="s">
        <v>1805</v>
      </c>
      <c r="E22" s="440">
        <v>9</v>
      </c>
      <c r="F22" s="440">
        <v>0.85</v>
      </c>
      <c r="G22" s="440">
        <v>1.02</v>
      </c>
      <c r="H22" s="440">
        <v>1.9</v>
      </c>
      <c r="I22" s="443"/>
      <c r="J22" s="440">
        <v>0.92</v>
      </c>
      <c r="K22" s="440">
        <v>1.02</v>
      </c>
      <c r="L22" s="440">
        <v>2</v>
      </c>
      <c r="N22" s="444">
        <f t="shared" si="0"/>
        <v>-7.6086956521739246E-2</v>
      </c>
      <c r="O22" s="444">
        <f t="shared" si="0"/>
        <v>0</v>
      </c>
      <c r="P22" s="444">
        <f t="shared" si="0"/>
        <v>-5.0000000000000044E-2</v>
      </c>
    </row>
    <row r="23" spans="2:16" x14ac:dyDescent="0.2">
      <c r="B23" s="440" t="s">
        <v>1787</v>
      </c>
      <c r="C23" s="440" t="s">
        <v>1804</v>
      </c>
      <c r="D23" s="440" t="s">
        <v>1805</v>
      </c>
      <c r="E23" s="440">
        <v>10</v>
      </c>
      <c r="F23" s="440">
        <v>0.85</v>
      </c>
      <c r="G23" s="440">
        <v>1.02</v>
      </c>
      <c r="H23" s="440">
        <v>1.85</v>
      </c>
      <c r="I23" s="443"/>
      <c r="J23" s="440">
        <v>0.92</v>
      </c>
      <c r="K23" s="440">
        <v>1.02</v>
      </c>
      <c r="L23" s="440">
        <v>1.9</v>
      </c>
      <c r="N23" s="444">
        <f t="shared" si="0"/>
        <v>-7.6086956521739246E-2</v>
      </c>
      <c r="O23" s="444">
        <f t="shared" si="0"/>
        <v>0</v>
      </c>
      <c r="P23" s="444">
        <f t="shared" si="0"/>
        <v>-2.631578947368407E-2</v>
      </c>
    </row>
    <row r="24" spans="2:16" x14ac:dyDescent="0.2">
      <c r="B24" s="440" t="s">
        <v>1787</v>
      </c>
      <c r="C24" s="440" t="s">
        <v>1804</v>
      </c>
      <c r="D24" s="440" t="s">
        <v>1805</v>
      </c>
      <c r="E24" s="440">
        <v>11</v>
      </c>
      <c r="F24" s="440">
        <v>0.85</v>
      </c>
      <c r="G24" s="440">
        <v>1.02</v>
      </c>
      <c r="H24" s="440">
        <v>1.8</v>
      </c>
      <c r="I24" s="443"/>
      <c r="J24" s="440">
        <v>0.92</v>
      </c>
      <c r="K24" s="440">
        <v>1.02</v>
      </c>
      <c r="L24" s="440">
        <v>1.85</v>
      </c>
      <c r="N24" s="444">
        <f t="shared" si="0"/>
        <v>-7.6086956521739246E-2</v>
      </c>
      <c r="O24" s="444">
        <f t="shared" si="0"/>
        <v>0</v>
      </c>
      <c r="P24" s="444">
        <f t="shared" si="0"/>
        <v>-2.7027027027027084E-2</v>
      </c>
    </row>
    <row r="25" spans="2:16" x14ac:dyDescent="0.2">
      <c r="B25" s="440" t="s">
        <v>1787</v>
      </c>
      <c r="C25" s="440" t="s">
        <v>1804</v>
      </c>
      <c r="D25" s="440" t="s">
        <v>1805</v>
      </c>
      <c r="E25" s="440">
        <v>12</v>
      </c>
      <c r="F25" s="440">
        <v>0.85</v>
      </c>
      <c r="G25" s="440">
        <v>1.02</v>
      </c>
      <c r="H25" s="440">
        <v>1.76</v>
      </c>
      <c r="I25" s="443"/>
      <c r="J25" s="440">
        <v>0.92</v>
      </c>
      <c r="K25" s="440">
        <v>1.02</v>
      </c>
      <c r="L25" s="440">
        <v>1.8</v>
      </c>
      <c r="N25" s="444">
        <f t="shared" si="0"/>
        <v>-7.6086956521739246E-2</v>
      </c>
      <c r="O25" s="444">
        <f t="shared" si="0"/>
        <v>0</v>
      </c>
      <c r="P25" s="444">
        <f t="shared" si="0"/>
        <v>-2.2222222222222254E-2</v>
      </c>
    </row>
    <row r="26" spans="2:16" x14ac:dyDescent="0.2">
      <c r="B26" s="440" t="s">
        <v>1787</v>
      </c>
      <c r="C26" s="440" t="s">
        <v>1804</v>
      </c>
      <c r="D26" s="440" t="s">
        <v>1805</v>
      </c>
      <c r="E26" s="440">
        <v>13</v>
      </c>
      <c r="F26" s="440">
        <v>0.85</v>
      </c>
      <c r="G26" s="440">
        <v>1.02</v>
      </c>
      <c r="H26" s="440">
        <v>1.72</v>
      </c>
      <c r="I26" s="443"/>
      <c r="J26" s="440">
        <v>0.92</v>
      </c>
      <c r="K26" s="440">
        <v>1.02</v>
      </c>
      <c r="L26" s="440">
        <v>1.76</v>
      </c>
      <c r="N26" s="444">
        <f t="shared" si="0"/>
        <v>-7.6086956521739246E-2</v>
      </c>
      <c r="O26" s="444">
        <f t="shared" si="0"/>
        <v>0</v>
      </c>
      <c r="P26" s="444">
        <f t="shared" si="0"/>
        <v>-2.2727272727272707E-2</v>
      </c>
    </row>
    <row r="27" spans="2:16" x14ac:dyDescent="0.2">
      <c r="B27" s="440" t="s">
        <v>1787</v>
      </c>
      <c r="C27" s="440" t="s">
        <v>1804</v>
      </c>
      <c r="D27" s="440" t="s">
        <v>1805</v>
      </c>
      <c r="E27" s="440">
        <v>14</v>
      </c>
      <c r="F27" s="440">
        <v>0.85</v>
      </c>
      <c r="G27" s="440">
        <v>1.02</v>
      </c>
      <c r="H27" s="440">
        <v>1.68</v>
      </c>
      <c r="I27" s="443"/>
      <c r="J27" s="440">
        <v>0.92</v>
      </c>
      <c r="K27" s="440">
        <v>1.02</v>
      </c>
      <c r="L27" s="440">
        <v>1.72</v>
      </c>
      <c r="N27" s="444">
        <f t="shared" si="0"/>
        <v>-7.6086956521739246E-2</v>
      </c>
      <c r="O27" s="444">
        <f t="shared" si="0"/>
        <v>0</v>
      </c>
      <c r="P27" s="444">
        <f t="shared" si="0"/>
        <v>-2.3255813953488413E-2</v>
      </c>
    </row>
    <row r="28" spans="2:16" x14ac:dyDescent="0.2">
      <c r="B28" s="440" t="s">
        <v>1787</v>
      </c>
      <c r="C28" s="440" t="s">
        <v>1804</v>
      </c>
      <c r="D28" s="440" t="s">
        <v>1805</v>
      </c>
      <c r="E28" s="440">
        <v>15</v>
      </c>
      <c r="F28" s="440">
        <v>0.85</v>
      </c>
      <c r="G28" s="440">
        <v>1.02</v>
      </c>
      <c r="H28" s="440">
        <v>1.64</v>
      </c>
      <c r="I28" s="443"/>
      <c r="J28" s="440">
        <v>0.92</v>
      </c>
      <c r="K28" s="440">
        <v>1.02</v>
      </c>
      <c r="L28" s="440">
        <v>1.68</v>
      </c>
      <c r="N28" s="444">
        <f t="shared" si="0"/>
        <v>-7.6086956521739246E-2</v>
      </c>
      <c r="O28" s="444">
        <f t="shared" si="0"/>
        <v>0</v>
      </c>
      <c r="P28" s="444">
        <f t="shared" si="0"/>
        <v>-2.3809523809523836E-2</v>
      </c>
    </row>
    <row r="29" spans="2:16" x14ac:dyDescent="0.2">
      <c r="B29" s="440" t="s">
        <v>1787</v>
      </c>
      <c r="C29" s="440" t="s">
        <v>1804</v>
      </c>
      <c r="D29" s="440" t="s">
        <v>1805</v>
      </c>
      <c r="E29" s="440">
        <v>16</v>
      </c>
      <c r="F29" s="440">
        <v>0.85</v>
      </c>
      <c r="G29" s="440">
        <v>1.02</v>
      </c>
      <c r="H29" s="440">
        <v>1.61</v>
      </c>
      <c r="I29" s="443"/>
      <c r="J29" s="440">
        <v>0.92</v>
      </c>
      <c r="K29" s="440">
        <v>1.02</v>
      </c>
      <c r="L29" s="440">
        <v>1.64</v>
      </c>
      <c r="N29" s="444">
        <f t="shared" si="0"/>
        <v>-7.6086956521739246E-2</v>
      </c>
      <c r="O29" s="444">
        <f t="shared" si="0"/>
        <v>0</v>
      </c>
      <c r="P29" s="444">
        <f t="shared" si="0"/>
        <v>-1.8292682926829174E-2</v>
      </c>
    </row>
    <row r="30" spans="2:16" x14ac:dyDescent="0.2">
      <c r="B30" s="440" t="s">
        <v>1787</v>
      </c>
      <c r="C30" s="440" t="s">
        <v>1804</v>
      </c>
      <c r="D30" s="440" t="s">
        <v>1805</v>
      </c>
      <c r="E30" s="440">
        <v>17</v>
      </c>
      <c r="F30" s="440">
        <v>0.85</v>
      </c>
      <c r="G30" s="440">
        <v>1.02</v>
      </c>
      <c r="H30" s="440">
        <v>1.58</v>
      </c>
      <c r="I30" s="443"/>
      <c r="J30" s="440">
        <v>0.92</v>
      </c>
      <c r="K30" s="440">
        <v>1.02</v>
      </c>
      <c r="L30" s="440">
        <v>1.61</v>
      </c>
      <c r="N30" s="444">
        <f t="shared" si="0"/>
        <v>-7.6086956521739246E-2</v>
      </c>
      <c r="O30" s="444">
        <f t="shared" si="0"/>
        <v>0</v>
      </c>
      <c r="P30" s="444">
        <f t="shared" si="0"/>
        <v>-1.8633540372670843E-2</v>
      </c>
    </row>
    <row r="31" spans="2:16" x14ac:dyDescent="0.2">
      <c r="B31" s="440" t="s">
        <v>1787</v>
      </c>
      <c r="C31" s="440" t="s">
        <v>1804</v>
      </c>
      <c r="D31" s="440" t="s">
        <v>1805</v>
      </c>
      <c r="E31" s="440">
        <v>18</v>
      </c>
      <c r="F31" s="440">
        <v>0.85</v>
      </c>
      <c r="G31" s="440">
        <v>1.02</v>
      </c>
      <c r="H31" s="440">
        <v>1.55</v>
      </c>
      <c r="I31" s="443"/>
      <c r="J31" s="440">
        <v>0.92</v>
      </c>
      <c r="K31" s="440">
        <v>1.02</v>
      </c>
      <c r="L31" s="440">
        <v>1.58</v>
      </c>
      <c r="N31" s="444">
        <f t="shared" si="0"/>
        <v>-7.6086956521739246E-2</v>
      </c>
      <c r="O31" s="444">
        <f t="shared" si="0"/>
        <v>0</v>
      </c>
      <c r="P31" s="444">
        <f t="shared" si="0"/>
        <v>-1.8987341772151889E-2</v>
      </c>
    </row>
    <row r="32" spans="2:16" x14ac:dyDescent="0.2">
      <c r="B32" s="440" t="s">
        <v>1787</v>
      </c>
      <c r="C32" s="440" t="s">
        <v>1804</v>
      </c>
      <c r="D32" s="440" t="s">
        <v>1805</v>
      </c>
      <c r="E32" s="440">
        <v>19</v>
      </c>
      <c r="F32" s="440">
        <v>0.85</v>
      </c>
      <c r="G32" s="440">
        <v>1.02</v>
      </c>
      <c r="H32" s="440">
        <v>1.52</v>
      </c>
      <c r="I32" s="443"/>
      <c r="J32" s="440">
        <v>0.92</v>
      </c>
      <c r="K32" s="440">
        <v>1.02</v>
      </c>
      <c r="L32" s="440">
        <v>1.55</v>
      </c>
      <c r="N32" s="444">
        <f t="shared" si="0"/>
        <v>-7.6086956521739246E-2</v>
      </c>
      <c r="O32" s="444">
        <f t="shared" si="0"/>
        <v>0</v>
      </c>
      <c r="P32" s="444">
        <f t="shared" si="0"/>
        <v>-1.9354838709677469E-2</v>
      </c>
    </row>
    <row r="33" spans="2:16" x14ac:dyDescent="0.2">
      <c r="B33" s="440" t="s">
        <v>1787</v>
      </c>
      <c r="C33" s="440" t="s">
        <v>1804</v>
      </c>
      <c r="D33" s="440" t="s">
        <v>1805</v>
      </c>
      <c r="E33" s="440">
        <v>20</v>
      </c>
      <c r="F33" s="440">
        <v>0.85</v>
      </c>
      <c r="G33" s="440">
        <v>1.02</v>
      </c>
      <c r="H33" s="440">
        <v>1.49</v>
      </c>
      <c r="I33" s="443"/>
      <c r="J33" s="440">
        <v>0.92</v>
      </c>
      <c r="K33" s="440">
        <v>1.02</v>
      </c>
      <c r="L33" s="440">
        <v>1.52</v>
      </c>
      <c r="N33" s="444">
        <f t="shared" si="0"/>
        <v>-7.6086956521739246E-2</v>
      </c>
      <c r="O33" s="444">
        <f t="shared" si="0"/>
        <v>0</v>
      </c>
      <c r="P33" s="444">
        <f t="shared" si="0"/>
        <v>-1.9736842105263164E-2</v>
      </c>
    </row>
    <row r="34" spans="2:16" x14ac:dyDescent="0.2">
      <c r="B34" s="440" t="s">
        <v>1787</v>
      </c>
      <c r="C34" s="440" t="s">
        <v>1804</v>
      </c>
      <c r="D34" s="440" t="s">
        <v>1805</v>
      </c>
      <c r="E34" s="440">
        <v>21</v>
      </c>
      <c r="F34" s="440">
        <v>0.85</v>
      </c>
      <c r="G34" s="440">
        <v>1.02</v>
      </c>
      <c r="H34" s="440">
        <v>1.46</v>
      </c>
      <c r="I34" s="443"/>
      <c r="J34" s="440">
        <v>0.92</v>
      </c>
      <c r="K34" s="440">
        <v>1.02</v>
      </c>
      <c r="L34" s="440">
        <v>1.49</v>
      </c>
      <c r="N34" s="444">
        <f t="shared" si="0"/>
        <v>-7.6086956521739246E-2</v>
      </c>
      <c r="O34" s="444">
        <f t="shared" si="0"/>
        <v>0</v>
      </c>
      <c r="P34" s="444">
        <f t="shared" si="0"/>
        <v>-2.0134228187919434E-2</v>
      </c>
    </row>
    <row r="35" spans="2:16" x14ac:dyDescent="0.2">
      <c r="B35" s="440" t="s">
        <v>1787</v>
      </c>
      <c r="C35" s="440" t="s">
        <v>1804</v>
      </c>
      <c r="D35" s="440" t="s">
        <v>1805</v>
      </c>
      <c r="E35" s="440">
        <v>22</v>
      </c>
      <c r="F35" s="440">
        <v>0.85</v>
      </c>
      <c r="G35" s="440">
        <v>1.02</v>
      </c>
      <c r="H35" s="440">
        <v>1.43</v>
      </c>
      <c r="I35" s="443"/>
      <c r="J35" s="440">
        <v>0.92</v>
      </c>
      <c r="K35" s="440">
        <v>1.02</v>
      </c>
      <c r="L35" s="440">
        <v>1.46</v>
      </c>
      <c r="N35" s="444">
        <f t="shared" si="0"/>
        <v>-7.6086956521739246E-2</v>
      </c>
      <c r="O35" s="444">
        <f t="shared" si="0"/>
        <v>0</v>
      </c>
      <c r="P35" s="444">
        <f t="shared" si="0"/>
        <v>-2.0547945205479423E-2</v>
      </c>
    </row>
    <row r="36" spans="2:16" x14ac:dyDescent="0.2">
      <c r="B36" s="440" t="s">
        <v>1787</v>
      </c>
      <c r="C36" s="440" t="s">
        <v>1804</v>
      </c>
      <c r="D36" s="440" t="s">
        <v>1805</v>
      </c>
      <c r="E36" s="440">
        <v>23</v>
      </c>
      <c r="F36" s="440">
        <v>0.85</v>
      </c>
      <c r="G36" s="440">
        <v>1.02</v>
      </c>
      <c r="H36" s="440">
        <v>1.4</v>
      </c>
      <c r="I36" s="443"/>
      <c r="J36" s="440">
        <v>0.92</v>
      </c>
      <c r="K36" s="440">
        <v>1.02</v>
      </c>
      <c r="L36" s="440">
        <v>1.43</v>
      </c>
      <c r="N36" s="444">
        <f t="shared" si="0"/>
        <v>-7.6086956521739246E-2</v>
      </c>
      <c r="O36" s="444">
        <f t="shared" si="0"/>
        <v>0</v>
      </c>
      <c r="P36" s="444">
        <f t="shared" si="0"/>
        <v>-2.0979020979021046E-2</v>
      </c>
    </row>
    <row r="37" spans="2:16" x14ac:dyDescent="0.2">
      <c r="B37" s="440" t="s">
        <v>1787</v>
      </c>
      <c r="C37" s="440" t="s">
        <v>1804</v>
      </c>
      <c r="D37" s="440" t="s">
        <v>1805</v>
      </c>
      <c r="E37" s="440">
        <v>24</v>
      </c>
      <c r="F37" s="440">
        <v>0.85</v>
      </c>
      <c r="G37" s="440">
        <v>1.02</v>
      </c>
      <c r="H37" s="440">
        <v>1.38</v>
      </c>
      <c r="I37" s="443"/>
      <c r="J37" s="440">
        <v>0.92</v>
      </c>
      <c r="K37" s="440">
        <v>1.02</v>
      </c>
      <c r="L37" s="440">
        <v>1.4</v>
      </c>
      <c r="N37" s="444">
        <f t="shared" si="0"/>
        <v>-7.6086956521739246E-2</v>
      </c>
      <c r="O37" s="444">
        <f t="shared" si="0"/>
        <v>0</v>
      </c>
      <c r="P37" s="444">
        <f t="shared" si="0"/>
        <v>-1.4285714285714346E-2</v>
      </c>
    </row>
    <row r="38" spans="2:16" x14ac:dyDescent="0.2">
      <c r="B38" s="440" t="s">
        <v>1787</v>
      </c>
      <c r="C38" s="440" t="s">
        <v>1804</v>
      </c>
      <c r="D38" s="440" t="s">
        <v>1805</v>
      </c>
      <c r="E38" s="440">
        <v>25</v>
      </c>
      <c r="F38" s="440">
        <v>0.85</v>
      </c>
      <c r="G38" s="440">
        <v>1.02</v>
      </c>
      <c r="H38" s="440">
        <v>1.36</v>
      </c>
      <c r="I38" s="443"/>
      <c r="J38" s="440">
        <v>0.92</v>
      </c>
      <c r="K38" s="440">
        <v>1.02</v>
      </c>
      <c r="L38" s="440">
        <v>1.38</v>
      </c>
      <c r="N38" s="444">
        <f t="shared" si="0"/>
        <v>-7.6086956521739246E-2</v>
      </c>
      <c r="O38" s="444">
        <f t="shared" si="0"/>
        <v>0</v>
      </c>
      <c r="P38" s="444">
        <f t="shared" si="0"/>
        <v>-1.4492753623188248E-2</v>
      </c>
    </row>
    <row r="39" spans="2:16" x14ac:dyDescent="0.2">
      <c r="B39" s="440" t="s">
        <v>1787</v>
      </c>
      <c r="C39" s="440" t="s">
        <v>1804</v>
      </c>
      <c r="D39" s="440" t="s">
        <v>1805</v>
      </c>
      <c r="E39" s="440">
        <v>26</v>
      </c>
      <c r="F39" s="440">
        <v>0.85</v>
      </c>
      <c r="G39" s="440">
        <v>1.02</v>
      </c>
      <c r="H39" s="440">
        <v>1.34</v>
      </c>
      <c r="I39" s="443"/>
      <c r="J39" s="440">
        <v>0.92</v>
      </c>
      <c r="K39" s="440">
        <v>1.02</v>
      </c>
      <c r="L39" s="440">
        <v>1.36</v>
      </c>
      <c r="N39" s="444">
        <f t="shared" si="0"/>
        <v>-7.6086956521739246E-2</v>
      </c>
      <c r="O39" s="444">
        <f t="shared" si="0"/>
        <v>0</v>
      </c>
      <c r="P39" s="444">
        <f t="shared" si="0"/>
        <v>-1.4705882352941235E-2</v>
      </c>
    </row>
    <row r="40" spans="2:16" x14ac:dyDescent="0.2">
      <c r="B40" s="440" t="s">
        <v>1787</v>
      </c>
      <c r="C40" s="440" t="s">
        <v>1804</v>
      </c>
      <c r="D40" s="440" t="s">
        <v>1805</v>
      </c>
      <c r="E40" s="440">
        <v>27</v>
      </c>
      <c r="F40" s="440">
        <v>0.85</v>
      </c>
      <c r="G40" s="440">
        <v>1.02</v>
      </c>
      <c r="H40" s="440">
        <v>1.32</v>
      </c>
      <c r="I40" s="443"/>
      <c r="J40" s="440">
        <v>0.92</v>
      </c>
      <c r="K40" s="440">
        <v>1.02</v>
      </c>
      <c r="L40" s="440">
        <v>1.34</v>
      </c>
      <c r="N40" s="444">
        <f t="shared" si="0"/>
        <v>-7.6086956521739246E-2</v>
      </c>
      <c r="O40" s="444">
        <f t="shared" si="0"/>
        <v>0</v>
      </c>
      <c r="P40" s="444">
        <f t="shared" si="0"/>
        <v>-1.4925373134328401E-2</v>
      </c>
    </row>
    <row r="41" spans="2:16" x14ac:dyDescent="0.2">
      <c r="B41" s="440" t="s">
        <v>1787</v>
      </c>
      <c r="C41" s="440" t="s">
        <v>1804</v>
      </c>
      <c r="D41" s="440" t="s">
        <v>1805</v>
      </c>
      <c r="E41" s="440">
        <v>28</v>
      </c>
      <c r="F41" s="440">
        <v>0.85</v>
      </c>
      <c r="G41" s="440">
        <v>1.02</v>
      </c>
      <c r="H41" s="440">
        <v>1.3</v>
      </c>
      <c r="I41" s="443"/>
      <c r="J41" s="440">
        <v>0.92</v>
      </c>
      <c r="K41" s="440">
        <v>1.02</v>
      </c>
      <c r="L41" s="440">
        <v>1.32</v>
      </c>
      <c r="N41" s="444">
        <f t="shared" si="0"/>
        <v>-7.6086956521739246E-2</v>
      </c>
      <c r="O41" s="444">
        <f t="shared" si="0"/>
        <v>0</v>
      </c>
      <c r="P41" s="444">
        <f t="shared" si="0"/>
        <v>-1.5151515151515138E-2</v>
      </c>
    </row>
    <row r="42" spans="2:16" x14ac:dyDescent="0.2">
      <c r="B42" s="440" t="s">
        <v>1787</v>
      </c>
      <c r="C42" s="440" t="s">
        <v>1804</v>
      </c>
      <c r="D42" s="440" t="s">
        <v>1805</v>
      </c>
      <c r="E42" s="440">
        <v>29</v>
      </c>
      <c r="F42" s="440">
        <v>0.85</v>
      </c>
      <c r="G42" s="440">
        <v>1.02</v>
      </c>
      <c r="H42" s="440">
        <v>1.28</v>
      </c>
      <c r="I42" s="443"/>
      <c r="J42" s="440">
        <v>0.92</v>
      </c>
      <c r="K42" s="440">
        <v>1.02</v>
      </c>
      <c r="L42" s="440">
        <v>1.3</v>
      </c>
      <c r="N42" s="444">
        <f t="shared" si="0"/>
        <v>-7.6086956521739246E-2</v>
      </c>
      <c r="O42" s="444">
        <f t="shared" si="0"/>
        <v>0</v>
      </c>
      <c r="P42" s="444">
        <f t="shared" si="0"/>
        <v>-1.5384615384615441E-2</v>
      </c>
    </row>
    <row r="43" spans="2:16" x14ac:dyDescent="0.2">
      <c r="B43" s="440" t="s">
        <v>1787</v>
      </c>
      <c r="C43" s="440" t="s">
        <v>1804</v>
      </c>
      <c r="D43" s="440" t="s">
        <v>1805</v>
      </c>
      <c r="E43" s="440">
        <v>30</v>
      </c>
      <c r="F43" s="440">
        <v>0.85</v>
      </c>
      <c r="G43" s="440">
        <v>1.02</v>
      </c>
      <c r="H43" s="440">
        <v>1.27</v>
      </c>
      <c r="I43" s="443"/>
      <c r="J43" s="440">
        <v>0.92</v>
      </c>
      <c r="K43" s="440">
        <v>1.02</v>
      </c>
      <c r="L43" s="440">
        <v>1.28</v>
      </c>
      <c r="N43" s="444">
        <f t="shared" si="0"/>
        <v>-7.6086956521739246E-2</v>
      </c>
      <c r="O43" s="444">
        <f t="shared" si="0"/>
        <v>0</v>
      </c>
      <c r="P43" s="444">
        <f t="shared" si="0"/>
        <v>-7.8125E-3</v>
      </c>
    </row>
    <row r="44" spans="2:16" x14ac:dyDescent="0.2">
      <c r="B44" s="440" t="s">
        <v>1787</v>
      </c>
      <c r="C44" s="440" t="s">
        <v>1804</v>
      </c>
      <c r="D44" s="440" t="s">
        <v>1805</v>
      </c>
      <c r="E44" s="440">
        <v>31</v>
      </c>
      <c r="F44" s="440">
        <v>0.85</v>
      </c>
      <c r="G44" s="440">
        <v>1.02</v>
      </c>
      <c r="H44" s="440">
        <v>1.26</v>
      </c>
      <c r="I44" s="443"/>
      <c r="J44" s="440">
        <v>0.92</v>
      </c>
      <c r="K44" s="440">
        <v>1.02</v>
      </c>
      <c r="L44" s="440">
        <v>1.27</v>
      </c>
      <c r="N44" s="444">
        <f t="shared" si="0"/>
        <v>-7.6086956521739246E-2</v>
      </c>
      <c r="O44" s="444">
        <f t="shared" si="0"/>
        <v>0</v>
      </c>
      <c r="P44" s="444">
        <f t="shared" si="0"/>
        <v>-7.8740157480314821E-3</v>
      </c>
    </row>
    <row r="45" spans="2:16" x14ac:dyDescent="0.2">
      <c r="B45" s="440" t="s">
        <v>1787</v>
      </c>
      <c r="C45" s="440" t="s">
        <v>1804</v>
      </c>
      <c r="D45" s="440" t="s">
        <v>1805</v>
      </c>
      <c r="E45" s="440">
        <v>32</v>
      </c>
      <c r="F45" s="440">
        <v>0.85</v>
      </c>
      <c r="G45" s="440">
        <v>1.02</v>
      </c>
      <c r="H45" s="440">
        <v>1.25</v>
      </c>
      <c r="I45" s="443"/>
      <c r="J45" s="440">
        <v>0.92</v>
      </c>
      <c r="K45" s="440">
        <v>1.02</v>
      </c>
      <c r="L45" s="440">
        <v>1.26</v>
      </c>
      <c r="N45" s="444">
        <f t="shared" si="0"/>
        <v>-7.6086956521739246E-2</v>
      </c>
      <c r="O45" s="444">
        <f t="shared" si="0"/>
        <v>0</v>
      </c>
      <c r="P45" s="444">
        <f t="shared" si="0"/>
        <v>-7.9365079365079083E-3</v>
      </c>
    </row>
    <row r="46" spans="2:16" x14ac:dyDescent="0.2">
      <c r="B46" s="440" t="s">
        <v>1787</v>
      </c>
      <c r="C46" s="440" t="s">
        <v>1804</v>
      </c>
      <c r="D46" s="440" t="s">
        <v>1805</v>
      </c>
      <c r="E46" s="440">
        <v>33</v>
      </c>
      <c r="F46" s="440">
        <v>0.85</v>
      </c>
      <c r="G46" s="440">
        <v>1.02</v>
      </c>
      <c r="H46" s="440">
        <v>1.24</v>
      </c>
      <c r="I46" s="443"/>
      <c r="J46" s="440">
        <v>0.92</v>
      </c>
      <c r="K46" s="440">
        <v>1.02</v>
      </c>
      <c r="L46" s="440">
        <v>1.25</v>
      </c>
      <c r="N46" s="444">
        <f t="shared" si="0"/>
        <v>-7.6086956521739246E-2</v>
      </c>
      <c r="O46" s="444">
        <f t="shared" si="0"/>
        <v>0</v>
      </c>
      <c r="P46" s="444">
        <f t="shared" si="0"/>
        <v>-8.0000000000000071E-3</v>
      </c>
    </row>
    <row r="47" spans="2:16" x14ac:dyDescent="0.2">
      <c r="B47" s="440" t="s">
        <v>1787</v>
      </c>
      <c r="C47" s="440" t="s">
        <v>1804</v>
      </c>
      <c r="D47" s="440" t="s">
        <v>1805</v>
      </c>
      <c r="E47" s="440">
        <v>34</v>
      </c>
      <c r="F47" s="440">
        <v>0.85</v>
      </c>
      <c r="G47" s="440">
        <v>1.02</v>
      </c>
      <c r="H47" s="440">
        <v>1.23</v>
      </c>
      <c r="I47" s="443"/>
      <c r="J47" s="440">
        <v>0.92</v>
      </c>
      <c r="K47" s="440">
        <v>1.02</v>
      </c>
      <c r="L47" s="440">
        <v>1.24</v>
      </c>
      <c r="N47" s="444">
        <f t="shared" si="0"/>
        <v>-7.6086956521739246E-2</v>
      </c>
      <c r="O47" s="444">
        <f t="shared" si="0"/>
        <v>0</v>
      </c>
      <c r="P47" s="444">
        <f t="shared" si="0"/>
        <v>-8.0645161290322509E-3</v>
      </c>
    </row>
    <row r="48" spans="2:16" x14ac:dyDescent="0.2">
      <c r="B48" s="440" t="s">
        <v>1787</v>
      </c>
      <c r="C48" s="440" t="s">
        <v>1804</v>
      </c>
      <c r="D48" s="440" t="s">
        <v>1805</v>
      </c>
      <c r="E48" s="440">
        <v>35</v>
      </c>
      <c r="F48" s="440">
        <v>0.85</v>
      </c>
      <c r="G48" s="440">
        <v>1.02</v>
      </c>
      <c r="H48" s="440">
        <v>1.22</v>
      </c>
      <c r="I48" s="443"/>
      <c r="J48" s="440">
        <v>0.92</v>
      </c>
      <c r="K48" s="440">
        <v>1.02</v>
      </c>
      <c r="L48" s="440">
        <v>1.23</v>
      </c>
      <c r="N48" s="444">
        <f t="shared" si="0"/>
        <v>-7.6086956521739246E-2</v>
      </c>
      <c r="O48" s="444">
        <f t="shared" si="0"/>
        <v>0</v>
      </c>
      <c r="P48" s="444">
        <f t="shared" si="0"/>
        <v>-8.1300813008130524E-3</v>
      </c>
    </row>
    <row r="49" spans="2:16" x14ac:dyDescent="0.2">
      <c r="B49" s="440" t="s">
        <v>1787</v>
      </c>
      <c r="C49" s="440" t="s">
        <v>1804</v>
      </c>
      <c r="D49" s="440" t="s">
        <v>1805</v>
      </c>
      <c r="E49" s="440">
        <v>36</v>
      </c>
      <c r="F49" s="440">
        <v>0.85</v>
      </c>
      <c r="G49" s="440">
        <v>1.02</v>
      </c>
      <c r="H49" s="440">
        <v>1.21</v>
      </c>
      <c r="I49" s="443"/>
      <c r="J49" s="440">
        <v>0.92</v>
      </c>
      <c r="K49" s="440">
        <v>1.02</v>
      </c>
      <c r="L49" s="440">
        <v>1.22</v>
      </c>
      <c r="N49" s="444">
        <f t="shared" si="0"/>
        <v>-7.6086956521739246E-2</v>
      </c>
      <c r="O49" s="444">
        <f t="shared" si="0"/>
        <v>0</v>
      </c>
      <c r="P49" s="444">
        <f t="shared" si="0"/>
        <v>-8.1967213114754189E-3</v>
      </c>
    </row>
    <row r="50" spans="2:16" x14ac:dyDescent="0.2">
      <c r="B50" s="440" t="s">
        <v>1787</v>
      </c>
      <c r="C50" s="440" t="s">
        <v>1804</v>
      </c>
      <c r="D50" s="440" t="s">
        <v>1805</v>
      </c>
      <c r="E50" s="440">
        <v>37</v>
      </c>
      <c r="F50" s="440">
        <v>0.85</v>
      </c>
      <c r="G50" s="440">
        <v>1.02</v>
      </c>
      <c r="H50" s="440">
        <v>1.2</v>
      </c>
      <c r="I50" s="443"/>
      <c r="J50" s="440">
        <v>0.92</v>
      </c>
      <c r="K50" s="440">
        <v>1.02</v>
      </c>
      <c r="L50" s="440">
        <v>1.21</v>
      </c>
      <c r="N50" s="444">
        <f t="shared" si="0"/>
        <v>-7.6086956521739246E-2</v>
      </c>
      <c r="O50" s="444">
        <f t="shared" si="0"/>
        <v>0</v>
      </c>
      <c r="P50" s="444">
        <f t="shared" si="0"/>
        <v>-8.2644628099173278E-3</v>
      </c>
    </row>
    <row r="51" spans="2:16" x14ac:dyDescent="0.2">
      <c r="B51" s="440" t="s">
        <v>1787</v>
      </c>
      <c r="C51" s="440" t="s">
        <v>1804</v>
      </c>
      <c r="D51" s="440" t="s">
        <v>1805</v>
      </c>
      <c r="E51" s="440">
        <v>38</v>
      </c>
      <c r="F51" s="440">
        <v>0.85</v>
      </c>
      <c r="G51" s="440">
        <v>1.02</v>
      </c>
      <c r="H51" s="440">
        <v>1.19</v>
      </c>
      <c r="I51" s="443"/>
      <c r="J51" s="440">
        <v>0.92</v>
      </c>
      <c r="K51" s="440">
        <v>1.02</v>
      </c>
      <c r="L51" s="440">
        <v>1.2</v>
      </c>
      <c r="N51" s="444">
        <f t="shared" si="0"/>
        <v>-7.6086956521739246E-2</v>
      </c>
      <c r="O51" s="444">
        <f t="shared" si="0"/>
        <v>0</v>
      </c>
      <c r="P51" s="444">
        <f t="shared" si="0"/>
        <v>-8.3333333333333037E-3</v>
      </c>
    </row>
    <row r="52" spans="2:16" x14ac:dyDescent="0.2">
      <c r="B52" s="440" t="s">
        <v>1787</v>
      </c>
      <c r="C52" s="440" t="s">
        <v>1804</v>
      </c>
      <c r="D52" s="440" t="s">
        <v>1805</v>
      </c>
      <c r="E52" s="440">
        <v>39</v>
      </c>
      <c r="F52" s="440">
        <v>0.85</v>
      </c>
      <c r="G52" s="440">
        <v>1.02</v>
      </c>
      <c r="H52" s="440">
        <v>1.18</v>
      </c>
      <c r="I52" s="443"/>
      <c r="J52" s="440">
        <v>0.92</v>
      </c>
      <c r="K52" s="440">
        <v>1.02</v>
      </c>
      <c r="L52" s="440">
        <v>1.19</v>
      </c>
      <c r="N52" s="444">
        <f t="shared" si="0"/>
        <v>-7.6086956521739246E-2</v>
      </c>
      <c r="O52" s="444">
        <f t="shared" si="0"/>
        <v>0</v>
      </c>
      <c r="P52" s="444">
        <f t="shared" si="0"/>
        <v>-8.4033613445377853E-3</v>
      </c>
    </row>
    <row r="53" spans="2:16" x14ac:dyDescent="0.2">
      <c r="B53" s="440" t="s">
        <v>1787</v>
      </c>
      <c r="C53" s="440" t="s">
        <v>1804</v>
      </c>
      <c r="D53" s="440" t="s">
        <v>1805</v>
      </c>
      <c r="E53" s="440">
        <v>40</v>
      </c>
      <c r="F53" s="440">
        <v>0.85</v>
      </c>
      <c r="G53" s="440">
        <v>1.02</v>
      </c>
      <c r="H53" s="440">
        <v>1.17</v>
      </c>
      <c r="I53" s="443"/>
      <c r="J53" s="440">
        <v>0.92</v>
      </c>
      <c r="K53" s="440">
        <v>1.02</v>
      </c>
      <c r="L53" s="440">
        <v>1.18</v>
      </c>
      <c r="N53" s="444">
        <f t="shared" si="0"/>
        <v>-7.6086956521739246E-2</v>
      </c>
      <c r="O53" s="444">
        <f t="shared" si="0"/>
        <v>0</v>
      </c>
      <c r="P53" s="444">
        <f t="shared" si="0"/>
        <v>-8.4745762711864181E-3</v>
      </c>
    </row>
    <row r="54" spans="2:16" x14ac:dyDescent="0.2">
      <c r="B54" s="440" t="s">
        <v>1787</v>
      </c>
      <c r="C54" s="440" t="s">
        <v>1804</v>
      </c>
      <c r="D54" s="440" t="s">
        <v>1805</v>
      </c>
      <c r="E54" s="440">
        <v>41</v>
      </c>
      <c r="F54" s="440">
        <v>0.85</v>
      </c>
      <c r="G54" s="440">
        <v>1.02</v>
      </c>
      <c r="H54" s="440">
        <v>1.1599999999999999</v>
      </c>
      <c r="I54" s="443"/>
      <c r="J54" s="440">
        <v>0.92</v>
      </c>
      <c r="K54" s="440">
        <v>1.02</v>
      </c>
      <c r="L54" s="440">
        <v>1.17</v>
      </c>
      <c r="N54" s="444">
        <f t="shared" si="0"/>
        <v>-7.6086956521739246E-2</v>
      </c>
      <c r="O54" s="444">
        <f t="shared" si="0"/>
        <v>0</v>
      </c>
      <c r="P54" s="444">
        <f t="shared" si="0"/>
        <v>-8.5470085470085166E-3</v>
      </c>
    </row>
    <row r="55" spans="2:16" x14ac:dyDescent="0.2">
      <c r="B55" s="440" t="s">
        <v>1787</v>
      </c>
      <c r="C55" s="440" t="s">
        <v>1804</v>
      </c>
      <c r="D55" s="440" t="s">
        <v>1805</v>
      </c>
      <c r="E55" s="440">
        <v>42</v>
      </c>
      <c r="F55" s="440">
        <v>0.85</v>
      </c>
      <c r="G55" s="440">
        <v>1.02</v>
      </c>
      <c r="H55" s="440">
        <v>1.1499999999999999</v>
      </c>
      <c r="I55" s="443"/>
      <c r="J55" s="440">
        <v>0.92</v>
      </c>
      <c r="K55" s="440">
        <v>1.02</v>
      </c>
      <c r="L55" s="440">
        <v>1.1599999999999999</v>
      </c>
      <c r="N55" s="444">
        <f t="shared" si="0"/>
        <v>-7.6086956521739246E-2</v>
      </c>
      <c r="O55" s="444">
        <f t="shared" si="0"/>
        <v>0</v>
      </c>
      <c r="P55" s="444">
        <f t="shared" si="0"/>
        <v>-8.6206896551723755E-3</v>
      </c>
    </row>
    <row r="56" spans="2:16" x14ac:dyDescent="0.2">
      <c r="B56" s="440" t="s">
        <v>1787</v>
      </c>
      <c r="C56" s="440" t="s">
        <v>1804</v>
      </c>
      <c r="D56" s="440" t="s">
        <v>1805</v>
      </c>
      <c r="E56" s="440">
        <v>43</v>
      </c>
      <c r="F56" s="440">
        <v>0.85</v>
      </c>
      <c r="G56" s="440">
        <v>1.02</v>
      </c>
      <c r="H56" s="440">
        <v>1.1399999999999999</v>
      </c>
      <c r="I56" s="443"/>
      <c r="J56" s="440">
        <v>0.92</v>
      </c>
      <c r="K56" s="440">
        <v>1.02</v>
      </c>
      <c r="L56" s="440">
        <v>1.1499999999999999</v>
      </c>
      <c r="N56" s="444">
        <f t="shared" si="0"/>
        <v>-7.6086956521739246E-2</v>
      </c>
      <c r="O56" s="444">
        <f t="shared" si="0"/>
        <v>0</v>
      </c>
      <c r="P56" s="444">
        <f t="shared" si="0"/>
        <v>-8.6956521739131043E-3</v>
      </c>
    </row>
    <row r="57" spans="2:16" x14ac:dyDescent="0.2">
      <c r="B57" s="440" t="s">
        <v>1787</v>
      </c>
      <c r="C57" s="440" t="s">
        <v>1804</v>
      </c>
      <c r="D57" s="440" t="s">
        <v>1805</v>
      </c>
      <c r="E57" s="440">
        <v>44</v>
      </c>
      <c r="F57" s="440">
        <v>0.85</v>
      </c>
      <c r="G57" s="440">
        <v>1.02</v>
      </c>
      <c r="H57" s="440">
        <v>1.1299999999999999</v>
      </c>
      <c r="I57" s="443"/>
      <c r="J57" s="440">
        <v>0.92</v>
      </c>
      <c r="K57" s="440">
        <v>1.02</v>
      </c>
      <c r="L57" s="440">
        <v>1.1399999999999999</v>
      </c>
      <c r="N57" s="444">
        <f t="shared" si="0"/>
        <v>-7.6086956521739246E-2</v>
      </c>
      <c r="O57" s="444">
        <f t="shared" si="0"/>
        <v>0</v>
      </c>
      <c r="P57" s="444">
        <f t="shared" si="0"/>
        <v>-8.7719298245614308E-3</v>
      </c>
    </row>
    <row r="58" spans="2:16" x14ac:dyDescent="0.2">
      <c r="B58" s="440" t="s">
        <v>1787</v>
      </c>
      <c r="C58" s="440" t="s">
        <v>1804</v>
      </c>
      <c r="D58" s="440" t="s">
        <v>1805</v>
      </c>
      <c r="E58" s="440">
        <v>45</v>
      </c>
      <c r="F58" s="440">
        <v>0.85</v>
      </c>
      <c r="G58" s="440">
        <v>1.02</v>
      </c>
      <c r="H58" s="440">
        <v>1.1200000000000001</v>
      </c>
      <c r="I58" s="443"/>
      <c r="J58" s="440">
        <v>0.92</v>
      </c>
      <c r="K58" s="440">
        <v>1.02</v>
      </c>
      <c r="L58" s="440">
        <v>1.1299999999999999</v>
      </c>
      <c r="N58" s="444">
        <f t="shared" si="0"/>
        <v>-7.6086956521739246E-2</v>
      </c>
      <c r="O58" s="444">
        <f t="shared" si="0"/>
        <v>0</v>
      </c>
      <c r="P58" s="444">
        <f t="shared" si="0"/>
        <v>-8.8495575221236855E-3</v>
      </c>
    </row>
    <row r="59" spans="2:16" x14ac:dyDescent="0.2">
      <c r="B59" s="440" t="s">
        <v>1787</v>
      </c>
      <c r="C59" s="440" t="s">
        <v>1804</v>
      </c>
      <c r="D59" s="440" t="s">
        <v>1805</v>
      </c>
      <c r="E59" s="440">
        <v>46</v>
      </c>
      <c r="F59" s="440">
        <v>0.85</v>
      </c>
      <c r="G59" s="440">
        <v>1.02</v>
      </c>
      <c r="H59" s="440">
        <v>1.1100000000000001</v>
      </c>
      <c r="I59" s="443"/>
      <c r="J59" s="440">
        <v>0.92</v>
      </c>
      <c r="K59" s="440">
        <v>1.02</v>
      </c>
      <c r="L59" s="440">
        <v>1.1200000000000001</v>
      </c>
      <c r="N59" s="444">
        <f t="shared" si="0"/>
        <v>-7.6086956521739246E-2</v>
      </c>
      <c r="O59" s="444">
        <f t="shared" si="0"/>
        <v>0</v>
      </c>
      <c r="P59" s="444">
        <f t="shared" si="0"/>
        <v>-8.9285714285713969E-3</v>
      </c>
    </row>
    <row r="60" spans="2:16" x14ac:dyDescent="0.2">
      <c r="B60" s="440" t="s">
        <v>1787</v>
      </c>
      <c r="C60" s="440" t="s">
        <v>1804</v>
      </c>
      <c r="D60" s="440" t="s">
        <v>1805</v>
      </c>
      <c r="E60" s="440">
        <v>47</v>
      </c>
      <c r="F60" s="440">
        <v>0.85</v>
      </c>
      <c r="G60" s="440">
        <v>1.02</v>
      </c>
      <c r="H60" s="440">
        <v>1.1000000000000001</v>
      </c>
      <c r="I60" s="443"/>
      <c r="J60" s="440">
        <v>0.92</v>
      </c>
      <c r="K60" s="440">
        <v>1.02</v>
      </c>
      <c r="L60" s="440">
        <v>1.1100000000000001</v>
      </c>
      <c r="N60" s="444">
        <f t="shared" si="0"/>
        <v>-7.6086956521739246E-2</v>
      </c>
      <c r="O60" s="444">
        <f t="shared" si="0"/>
        <v>0</v>
      </c>
      <c r="P60" s="444">
        <f t="shared" si="0"/>
        <v>-9.009009009009028E-3</v>
      </c>
    </row>
    <row r="61" spans="2:16" x14ac:dyDescent="0.2">
      <c r="B61" s="440" t="s">
        <v>1787</v>
      </c>
      <c r="C61" s="440" t="s">
        <v>1804</v>
      </c>
      <c r="D61" s="440" t="s">
        <v>1805</v>
      </c>
      <c r="E61" s="440">
        <v>48</v>
      </c>
      <c r="F61" s="440">
        <v>0.85</v>
      </c>
      <c r="G61" s="440">
        <v>1.02</v>
      </c>
      <c r="H61" s="440">
        <v>1.0900000000000001</v>
      </c>
      <c r="I61" s="443"/>
      <c r="J61" s="440">
        <v>0.92</v>
      </c>
      <c r="K61" s="440">
        <v>1.02</v>
      </c>
      <c r="L61" s="440">
        <v>1.1000000000000001</v>
      </c>
      <c r="N61" s="444">
        <f t="shared" si="0"/>
        <v>-7.6086956521739246E-2</v>
      </c>
      <c r="O61" s="444">
        <f t="shared" si="0"/>
        <v>0</v>
      </c>
      <c r="P61" s="444">
        <f t="shared" si="0"/>
        <v>-9.0909090909091494E-3</v>
      </c>
    </row>
    <row r="62" spans="2:16" x14ac:dyDescent="0.2">
      <c r="B62" s="440" t="s">
        <v>1787</v>
      </c>
      <c r="C62" s="440" t="s">
        <v>1804</v>
      </c>
      <c r="D62" s="440" t="s">
        <v>1805</v>
      </c>
      <c r="E62" s="440">
        <v>49</v>
      </c>
      <c r="F62" s="440">
        <v>0.85</v>
      </c>
      <c r="G62" s="440">
        <v>1.02</v>
      </c>
      <c r="H62" s="440">
        <v>1.0900000000000001</v>
      </c>
      <c r="I62" s="443"/>
      <c r="J62" s="440">
        <v>0.92</v>
      </c>
      <c r="K62" s="440">
        <v>1.02</v>
      </c>
      <c r="L62" s="440">
        <v>1.1000000000000001</v>
      </c>
      <c r="N62" s="444">
        <f t="shared" si="0"/>
        <v>-7.6086956521739246E-2</v>
      </c>
      <c r="O62" s="444">
        <f t="shared" si="0"/>
        <v>0</v>
      </c>
      <c r="P62" s="444">
        <f t="shared" si="0"/>
        <v>-9.0909090909091494E-3</v>
      </c>
    </row>
    <row r="63" spans="2:16" x14ac:dyDescent="0.2">
      <c r="B63" s="440" t="s">
        <v>1787</v>
      </c>
      <c r="C63" s="440" t="s">
        <v>1804</v>
      </c>
      <c r="D63" s="440" t="s">
        <v>1805</v>
      </c>
      <c r="E63" s="440">
        <v>50</v>
      </c>
      <c r="F63" s="440">
        <v>0.85</v>
      </c>
      <c r="G63" s="440">
        <v>1.02</v>
      </c>
      <c r="H63" s="440">
        <v>1.08</v>
      </c>
      <c r="I63" s="443"/>
      <c r="J63" s="440">
        <v>0.92</v>
      </c>
      <c r="K63" s="440">
        <v>1.02</v>
      </c>
      <c r="L63" s="440">
        <v>1.0900000000000001</v>
      </c>
      <c r="N63" s="444">
        <f t="shared" si="0"/>
        <v>-7.6086956521739246E-2</v>
      </c>
      <c r="O63" s="444">
        <f t="shared" si="0"/>
        <v>0</v>
      </c>
      <c r="P63" s="444">
        <f t="shared" si="0"/>
        <v>-9.1743119266055606E-3</v>
      </c>
    </row>
    <row r="64" spans="2:16" x14ac:dyDescent="0.2">
      <c r="B64" s="440" t="s">
        <v>1787</v>
      </c>
      <c r="C64" s="440" t="s">
        <v>1804</v>
      </c>
      <c r="D64" s="440" t="s">
        <v>1805</v>
      </c>
      <c r="E64" s="440">
        <v>51</v>
      </c>
      <c r="F64" s="440">
        <v>0.85</v>
      </c>
      <c r="G64" s="440">
        <v>1.02</v>
      </c>
      <c r="H64" s="440">
        <v>1.08</v>
      </c>
      <c r="I64" s="443"/>
      <c r="J64" s="440">
        <v>0.92</v>
      </c>
      <c r="K64" s="440">
        <v>1.02</v>
      </c>
      <c r="L64" s="440">
        <v>1.0900000000000001</v>
      </c>
      <c r="N64" s="444">
        <f t="shared" si="0"/>
        <v>-7.6086956521739246E-2</v>
      </c>
      <c r="O64" s="444">
        <f t="shared" si="0"/>
        <v>0</v>
      </c>
      <c r="P64" s="444">
        <f t="shared" si="0"/>
        <v>-9.1743119266055606E-3</v>
      </c>
    </row>
    <row r="65" spans="2:16" x14ac:dyDescent="0.2">
      <c r="B65" s="440" t="s">
        <v>1787</v>
      </c>
      <c r="C65" s="440" t="s">
        <v>1804</v>
      </c>
      <c r="D65" s="440" t="s">
        <v>1805</v>
      </c>
      <c r="E65" s="440">
        <v>52</v>
      </c>
      <c r="F65" s="440">
        <v>0.85</v>
      </c>
      <c r="G65" s="440">
        <v>1.02</v>
      </c>
      <c r="H65" s="440">
        <v>1.07</v>
      </c>
      <c r="I65" s="443"/>
      <c r="J65" s="440">
        <v>0.92</v>
      </c>
      <c r="K65" s="440">
        <v>1.02</v>
      </c>
      <c r="L65" s="440">
        <v>1.08</v>
      </c>
      <c r="N65" s="444">
        <f t="shared" si="0"/>
        <v>-7.6086956521739246E-2</v>
      </c>
      <c r="O65" s="444">
        <f t="shared" si="0"/>
        <v>0</v>
      </c>
      <c r="P65" s="444">
        <f t="shared" si="0"/>
        <v>-9.2592592592593004E-3</v>
      </c>
    </row>
    <row r="66" spans="2:16" x14ac:dyDescent="0.2">
      <c r="B66" s="440" t="s">
        <v>1787</v>
      </c>
      <c r="C66" s="440" t="s">
        <v>1804</v>
      </c>
      <c r="D66" s="440" t="s">
        <v>1805</v>
      </c>
      <c r="E66" s="440">
        <v>53</v>
      </c>
      <c r="F66" s="440">
        <v>0.85</v>
      </c>
      <c r="G66" s="440">
        <v>1.02</v>
      </c>
      <c r="H66" s="440">
        <v>1.07</v>
      </c>
      <c r="I66" s="443"/>
      <c r="J66" s="440">
        <v>0.92</v>
      </c>
      <c r="K66" s="440">
        <v>1.02</v>
      </c>
      <c r="L66" s="440">
        <v>1.08</v>
      </c>
      <c r="N66" s="444">
        <f t="shared" si="0"/>
        <v>-7.6086956521739246E-2</v>
      </c>
      <c r="O66" s="444">
        <f t="shared" si="0"/>
        <v>0</v>
      </c>
      <c r="P66" s="444">
        <f t="shared" si="0"/>
        <v>-9.2592592592593004E-3</v>
      </c>
    </row>
    <row r="67" spans="2:16" x14ac:dyDescent="0.2">
      <c r="B67" s="440" t="s">
        <v>1787</v>
      </c>
      <c r="C67" s="440" t="s">
        <v>1804</v>
      </c>
      <c r="D67" s="440" t="s">
        <v>1805</v>
      </c>
      <c r="E67" s="440">
        <v>54</v>
      </c>
      <c r="F67" s="440">
        <v>0.85</v>
      </c>
      <c r="G67" s="440">
        <v>1.02</v>
      </c>
      <c r="H67" s="440">
        <v>1.06</v>
      </c>
      <c r="I67" s="443"/>
      <c r="J67" s="440">
        <v>0.92</v>
      </c>
      <c r="K67" s="440">
        <v>1.02</v>
      </c>
      <c r="L67" s="440">
        <v>1.07</v>
      </c>
      <c r="N67" s="444">
        <f t="shared" si="0"/>
        <v>-7.6086956521739246E-2</v>
      </c>
      <c r="O67" s="444">
        <f t="shared" si="0"/>
        <v>0</v>
      </c>
      <c r="P67" s="444">
        <f t="shared" si="0"/>
        <v>-9.3457943925233655E-3</v>
      </c>
    </row>
    <row r="68" spans="2:16" x14ac:dyDescent="0.2">
      <c r="B68" s="440" t="s">
        <v>1787</v>
      </c>
      <c r="C68" s="440" t="s">
        <v>1804</v>
      </c>
      <c r="D68" s="440" t="s">
        <v>1805</v>
      </c>
      <c r="E68" s="440">
        <v>55</v>
      </c>
      <c r="F68" s="440">
        <v>0.85</v>
      </c>
      <c r="G68" s="440">
        <v>1.02</v>
      </c>
      <c r="H68" s="440">
        <v>1.06</v>
      </c>
      <c r="I68" s="443"/>
      <c r="J68" s="440">
        <v>0.92</v>
      </c>
      <c r="K68" s="440">
        <v>1.02</v>
      </c>
      <c r="L68" s="440">
        <v>1.07</v>
      </c>
      <c r="N68" s="444">
        <f t="shared" si="0"/>
        <v>-7.6086956521739246E-2</v>
      </c>
      <c r="O68" s="444">
        <f t="shared" si="0"/>
        <v>0</v>
      </c>
      <c r="P68" s="444">
        <f t="shared" si="0"/>
        <v>-9.3457943925233655E-3</v>
      </c>
    </row>
    <row r="69" spans="2:16" x14ac:dyDescent="0.2">
      <c r="B69" s="440" t="s">
        <v>1787</v>
      </c>
      <c r="C69" s="440" t="s">
        <v>1804</v>
      </c>
      <c r="D69" s="440" t="s">
        <v>1805</v>
      </c>
      <c r="E69" s="440">
        <v>56</v>
      </c>
      <c r="F69" s="440">
        <v>0.85</v>
      </c>
      <c r="G69" s="440">
        <v>1.02</v>
      </c>
      <c r="H69" s="440">
        <v>1.05</v>
      </c>
      <c r="I69" s="443"/>
      <c r="J69" s="440">
        <v>0.92</v>
      </c>
      <c r="K69" s="440">
        <v>1.02</v>
      </c>
      <c r="L69" s="440">
        <v>1.06</v>
      </c>
      <c r="N69" s="444">
        <f t="shared" si="0"/>
        <v>-7.6086956521739246E-2</v>
      </c>
      <c r="O69" s="444">
        <f t="shared" si="0"/>
        <v>0</v>
      </c>
      <c r="P69" s="444">
        <f t="shared" si="0"/>
        <v>-9.4339622641509413E-3</v>
      </c>
    </row>
    <row r="70" spans="2:16" x14ac:dyDescent="0.2">
      <c r="B70" s="440" t="s">
        <v>1787</v>
      </c>
      <c r="C70" s="440" t="s">
        <v>1804</v>
      </c>
      <c r="D70" s="440" t="s">
        <v>1805</v>
      </c>
      <c r="E70" s="440">
        <v>57</v>
      </c>
      <c r="F70" s="440">
        <v>0.85</v>
      </c>
      <c r="G70" s="440">
        <v>1.02</v>
      </c>
      <c r="H70" s="440">
        <v>1.05</v>
      </c>
      <c r="I70" s="443"/>
      <c r="J70" s="440">
        <v>0.92</v>
      </c>
      <c r="K70" s="440">
        <v>1.02</v>
      </c>
      <c r="L70" s="440">
        <v>1.06</v>
      </c>
      <c r="N70" s="444">
        <f t="shared" si="0"/>
        <v>-7.6086956521739246E-2</v>
      </c>
      <c r="O70" s="444">
        <f t="shared" si="0"/>
        <v>0</v>
      </c>
      <c r="P70" s="444">
        <f t="shared" si="0"/>
        <v>-9.4339622641509413E-3</v>
      </c>
    </row>
    <row r="71" spans="2:16" x14ac:dyDescent="0.2">
      <c r="B71" s="440" t="s">
        <v>1787</v>
      </c>
      <c r="C71" s="440" t="s">
        <v>1804</v>
      </c>
      <c r="D71" s="440" t="s">
        <v>1805</v>
      </c>
      <c r="E71" s="440">
        <v>58</v>
      </c>
      <c r="F71" s="440">
        <v>0.85</v>
      </c>
      <c r="G71" s="440">
        <v>1.02</v>
      </c>
      <c r="H71" s="440">
        <v>1.05</v>
      </c>
      <c r="I71" s="443"/>
      <c r="J71" s="440">
        <v>0.92</v>
      </c>
      <c r="K71" s="440">
        <v>1.02</v>
      </c>
      <c r="L71" s="440">
        <v>1.05</v>
      </c>
      <c r="N71" s="444">
        <f t="shared" si="0"/>
        <v>-7.6086956521739246E-2</v>
      </c>
      <c r="O71" s="444">
        <f t="shared" si="0"/>
        <v>0</v>
      </c>
      <c r="P71" s="444">
        <f t="shared" si="0"/>
        <v>0</v>
      </c>
    </row>
    <row r="72" spans="2:16" x14ac:dyDescent="0.2">
      <c r="B72" s="440" t="s">
        <v>1787</v>
      </c>
      <c r="C72" s="440" t="s">
        <v>1804</v>
      </c>
      <c r="D72" s="440" t="s">
        <v>1805</v>
      </c>
      <c r="E72" s="440">
        <v>59</v>
      </c>
      <c r="F72" s="440">
        <v>0.85</v>
      </c>
      <c r="G72" s="440">
        <v>1.02</v>
      </c>
      <c r="H72" s="440">
        <v>1.04</v>
      </c>
      <c r="I72" s="443"/>
      <c r="J72" s="440">
        <v>0.92</v>
      </c>
      <c r="K72" s="440">
        <v>1.02</v>
      </c>
      <c r="L72" s="440">
        <v>1.05</v>
      </c>
      <c r="N72" s="444">
        <f t="shared" si="0"/>
        <v>-7.6086956521739246E-2</v>
      </c>
      <c r="O72" s="444">
        <f t="shared" si="0"/>
        <v>0</v>
      </c>
      <c r="P72" s="444">
        <f t="shared" si="0"/>
        <v>-9.52380952380949E-3</v>
      </c>
    </row>
    <row r="73" spans="2:16" x14ac:dyDescent="0.2">
      <c r="B73" s="440" t="s">
        <v>1787</v>
      </c>
      <c r="C73" s="440" t="s">
        <v>1804</v>
      </c>
      <c r="D73" s="440" t="s">
        <v>1805</v>
      </c>
      <c r="E73" s="440">
        <v>60</v>
      </c>
      <c r="F73" s="440">
        <v>0.85</v>
      </c>
      <c r="G73" s="440">
        <v>1.02</v>
      </c>
      <c r="H73" s="440">
        <v>1.04</v>
      </c>
      <c r="I73" s="443"/>
      <c r="J73" s="440">
        <v>0.92</v>
      </c>
      <c r="K73" s="440">
        <v>1.02</v>
      </c>
      <c r="L73" s="440">
        <v>1.05</v>
      </c>
      <c r="N73" s="444">
        <f t="shared" si="0"/>
        <v>-7.6086956521739246E-2</v>
      </c>
      <c r="O73" s="444">
        <f t="shared" si="0"/>
        <v>0</v>
      </c>
      <c r="P73" s="444">
        <f t="shared" si="0"/>
        <v>-9.52380952380949E-3</v>
      </c>
    </row>
    <row r="74" spans="2:16" x14ac:dyDescent="0.2">
      <c r="B74" s="440" t="s">
        <v>1787</v>
      </c>
      <c r="C74" s="440" t="s">
        <v>1804</v>
      </c>
      <c r="D74" s="440" t="s">
        <v>1805</v>
      </c>
      <c r="E74" s="440">
        <v>61</v>
      </c>
      <c r="F74" s="440">
        <v>0.85</v>
      </c>
      <c r="G74" s="440">
        <v>1.02</v>
      </c>
      <c r="H74" s="440">
        <v>1.04</v>
      </c>
      <c r="I74" s="443"/>
      <c r="J74" s="440">
        <v>0.92</v>
      </c>
      <c r="K74" s="440">
        <v>1.02</v>
      </c>
      <c r="L74" s="440">
        <v>1.04</v>
      </c>
      <c r="N74" s="444">
        <f t="shared" si="0"/>
        <v>-7.6086956521739246E-2</v>
      </c>
      <c r="O74" s="444">
        <f t="shared" si="0"/>
        <v>0</v>
      </c>
      <c r="P74" s="444">
        <f t="shared" si="0"/>
        <v>0</v>
      </c>
    </row>
    <row r="75" spans="2:16" x14ac:dyDescent="0.2">
      <c r="B75" s="440" t="s">
        <v>1787</v>
      </c>
      <c r="C75" s="440" t="s">
        <v>1804</v>
      </c>
      <c r="D75" s="440" t="s">
        <v>1805</v>
      </c>
      <c r="E75" s="440">
        <v>62</v>
      </c>
      <c r="F75" s="440">
        <v>0.85</v>
      </c>
      <c r="G75" s="440">
        <v>1.02</v>
      </c>
      <c r="H75" s="440">
        <v>1.03</v>
      </c>
      <c r="I75" s="443"/>
      <c r="J75" s="440">
        <v>0.92</v>
      </c>
      <c r="K75" s="440">
        <v>1.02</v>
      </c>
      <c r="L75" s="440">
        <v>1.04</v>
      </c>
      <c r="N75" s="444">
        <f t="shared" si="0"/>
        <v>-7.6086956521739246E-2</v>
      </c>
      <c r="O75" s="444">
        <f t="shared" si="0"/>
        <v>0</v>
      </c>
      <c r="P75" s="444">
        <f t="shared" si="0"/>
        <v>-9.6153846153845812E-3</v>
      </c>
    </row>
    <row r="76" spans="2:16" x14ac:dyDescent="0.2">
      <c r="B76" s="440" t="s">
        <v>1787</v>
      </c>
      <c r="C76" s="440" t="s">
        <v>1804</v>
      </c>
      <c r="D76" s="440" t="s">
        <v>1805</v>
      </c>
      <c r="E76" s="440">
        <v>63</v>
      </c>
      <c r="F76" s="440">
        <v>0.85</v>
      </c>
      <c r="G76" s="440">
        <v>1.02</v>
      </c>
      <c r="H76" s="440">
        <v>1.03</v>
      </c>
      <c r="I76" s="443"/>
      <c r="J76" s="440">
        <v>0.92</v>
      </c>
      <c r="K76" s="440">
        <v>1.02</v>
      </c>
      <c r="L76" s="440">
        <v>1.04</v>
      </c>
      <c r="N76" s="444">
        <f t="shared" si="0"/>
        <v>-7.6086956521739246E-2</v>
      </c>
      <c r="O76" s="444">
        <f t="shared" si="0"/>
        <v>0</v>
      </c>
      <c r="P76" s="444">
        <f t="shared" si="0"/>
        <v>-9.6153846153845812E-3</v>
      </c>
    </row>
    <row r="77" spans="2:16" x14ac:dyDescent="0.2">
      <c r="B77" s="440" t="s">
        <v>1787</v>
      </c>
      <c r="C77" s="440" t="s">
        <v>1804</v>
      </c>
      <c r="D77" s="440" t="s">
        <v>1805</v>
      </c>
      <c r="E77" s="440">
        <v>64</v>
      </c>
      <c r="F77" s="440">
        <v>0.85</v>
      </c>
      <c r="G77" s="440">
        <v>1.02</v>
      </c>
      <c r="H77" s="440">
        <v>1.03</v>
      </c>
      <c r="I77" s="443"/>
      <c r="J77" s="440">
        <v>0.92</v>
      </c>
      <c r="K77" s="440">
        <v>1.02</v>
      </c>
      <c r="L77" s="440">
        <v>1.03</v>
      </c>
      <c r="N77" s="444">
        <f t="shared" ref="N77:P140" si="1">F77/J77-1</f>
        <v>-7.6086956521739246E-2</v>
      </c>
      <c r="O77" s="444">
        <f t="shared" si="1"/>
        <v>0</v>
      </c>
      <c r="P77" s="444">
        <f t="shared" si="1"/>
        <v>0</v>
      </c>
    </row>
    <row r="78" spans="2:16" x14ac:dyDescent="0.2">
      <c r="B78" s="440" t="s">
        <v>1787</v>
      </c>
      <c r="C78" s="440" t="s">
        <v>1804</v>
      </c>
      <c r="D78" s="440" t="s">
        <v>1805</v>
      </c>
      <c r="E78" s="440">
        <v>65</v>
      </c>
      <c r="F78" s="440">
        <v>0.85</v>
      </c>
      <c r="G78" s="440">
        <v>1.02</v>
      </c>
      <c r="H78" s="440">
        <v>1.02</v>
      </c>
      <c r="I78" s="443"/>
      <c r="J78" s="440">
        <v>0.92</v>
      </c>
      <c r="K78" s="440">
        <v>1.02</v>
      </c>
      <c r="L78" s="440">
        <v>1.03</v>
      </c>
      <c r="N78" s="444">
        <f t="shared" si="1"/>
        <v>-7.6086956521739246E-2</v>
      </c>
      <c r="O78" s="444">
        <f t="shared" si="1"/>
        <v>0</v>
      </c>
      <c r="P78" s="444">
        <f t="shared" si="1"/>
        <v>-9.7087378640776656E-3</v>
      </c>
    </row>
    <row r="79" spans="2:16" x14ac:dyDescent="0.2">
      <c r="B79" s="440" t="s">
        <v>1787</v>
      </c>
      <c r="C79" s="440" t="s">
        <v>1804</v>
      </c>
      <c r="D79" s="440" t="s">
        <v>1805</v>
      </c>
      <c r="E79" s="440">
        <v>66</v>
      </c>
      <c r="F79" s="440">
        <v>0.85</v>
      </c>
      <c r="G79" s="440">
        <v>1.02</v>
      </c>
      <c r="H79" s="440">
        <v>1.02</v>
      </c>
      <c r="I79" s="443"/>
      <c r="J79" s="440">
        <v>0.92</v>
      </c>
      <c r="K79" s="440">
        <v>1.02</v>
      </c>
      <c r="L79" s="440">
        <v>1.03</v>
      </c>
      <c r="N79" s="444">
        <f t="shared" si="1"/>
        <v>-7.6086956521739246E-2</v>
      </c>
      <c r="O79" s="444">
        <f t="shared" si="1"/>
        <v>0</v>
      </c>
      <c r="P79" s="444">
        <f t="shared" si="1"/>
        <v>-9.7087378640776656E-3</v>
      </c>
    </row>
    <row r="80" spans="2:16" x14ac:dyDescent="0.2">
      <c r="B80" s="440" t="s">
        <v>1787</v>
      </c>
      <c r="C80" s="440" t="s">
        <v>1804</v>
      </c>
      <c r="D80" s="440" t="s">
        <v>1805</v>
      </c>
      <c r="E80" s="440">
        <v>67</v>
      </c>
      <c r="F80" s="440">
        <v>0.85</v>
      </c>
      <c r="G80" s="440">
        <v>1.02</v>
      </c>
      <c r="H80" s="440">
        <v>1.02</v>
      </c>
      <c r="I80" s="443"/>
      <c r="J80" s="440">
        <v>0.92</v>
      </c>
      <c r="K80" s="440">
        <v>1.02</v>
      </c>
      <c r="L80" s="440">
        <v>1.02</v>
      </c>
      <c r="N80" s="444">
        <f t="shared" si="1"/>
        <v>-7.6086956521739246E-2</v>
      </c>
      <c r="O80" s="444">
        <f t="shared" si="1"/>
        <v>0</v>
      </c>
      <c r="P80" s="444">
        <f t="shared" si="1"/>
        <v>0</v>
      </c>
    </row>
    <row r="81" spans="2:16" x14ac:dyDescent="0.2">
      <c r="B81" s="440" t="s">
        <v>1787</v>
      </c>
      <c r="C81" s="440" t="s">
        <v>1804</v>
      </c>
      <c r="D81" s="440" t="s">
        <v>1805</v>
      </c>
      <c r="E81" s="440">
        <v>68</v>
      </c>
      <c r="F81" s="440">
        <v>0.85</v>
      </c>
      <c r="G81" s="440">
        <v>1.02</v>
      </c>
      <c r="H81" s="440">
        <v>1.02</v>
      </c>
      <c r="I81" s="443"/>
      <c r="J81" s="440">
        <v>0.92</v>
      </c>
      <c r="K81" s="440">
        <v>1.02</v>
      </c>
      <c r="L81" s="440">
        <v>1.02</v>
      </c>
      <c r="N81" s="444">
        <f t="shared" si="1"/>
        <v>-7.6086956521739246E-2</v>
      </c>
      <c r="O81" s="444">
        <f t="shared" si="1"/>
        <v>0</v>
      </c>
      <c r="P81" s="444">
        <f t="shared" si="1"/>
        <v>0</v>
      </c>
    </row>
    <row r="82" spans="2:16" x14ac:dyDescent="0.2">
      <c r="B82" s="440" t="s">
        <v>1787</v>
      </c>
      <c r="C82" s="440" t="s">
        <v>1804</v>
      </c>
      <c r="D82" s="440" t="s">
        <v>1805</v>
      </c>
      <c r="E82" s="440">
        <v>69</v>
      </c>
      <c r="F82" s="440">
        <v>0.85</v>
      </c>
      <c r="G82" s="440">
        <v>1.01</v>
      </c>
      <c r="H82" s="440">
        <v>1.01</v>
      </c>
      <c r="I82" s="443"/>
      <c r="J82" s="440">
        <v>0.92</v>
      </c>
      <c r="K82" s="440">
        <v>1.02</v>
      </c>
      <c r="L82" s="440">
        <v>1.02</v>
      </c>
      <c r="N82" s="444">
        <f t="shared" si="1"/>
        <v>-7.6086956521739246E-2</v>
      </c>
      <c r="O82" s="444">
        <f t="shared" si="1"/>
        <v>-9.8039215686274161E-3</v>
      </c>
      <c r="P82" s="444">
        <f t="shared" si="1"/>
        <v>-9.8039215686274161E-3</v>
      </c>
    </row>
    <row r="83" spans="2:16" x14ac:dyDescent="0.2">
      <c r="B83" s="440" t="s">
        <v>1787</v>
      </c>
      <c r="C83" s="440" t="s">
        <v>1804</v>
      </c>
      <c r="D83" s="440" t="s">
        <v>1805</v>
      </c>
      <c r="E83" s="440">
        <v>70</v>
      </c>
      <c r="F83" s="440">
        <v>0.85</v>
      </c>
      <c r="G83" s="440">
        <v>1.01</v>
      </c>
      <c r="H83" s="440">
        <v>1.01</v>
      </c>
      <c r="I83" s="443"/>
      <c r="J83" s="440">
        <v>0.92</v>
      </c>
      <c r="K83" s="440">
        <v>1.02</v>
      </c>
      <c r="L83" s="440">
        <v>1.01</v>
      </c>
      <c r="N83" s="444">
        <f t="shared" si="1"/>
        <v>-7.6086956521739246E-2</v>
      </c>
      <c r="O83" s="444">
        <f t="shared" si="1"/>
        <v>-9.8039215686274161E-3</v>
      </c>
      <c r="P83" s="444">
        <f t="shared" si="1"/>
        <v>0</v>
      </c>
    </row>
    <row r="84" spans="2:16" x14ac:dyDescent="0.2">
      <c r="B84" s="440" t="s">
        <v>1787</v>
      </c>
      <c r="C84" s="440" t="s">
        <v>1804</v>
      </c>
      <c r="D84" s="440" t="s">
        <v>1805</v>
      </c>
      <c r="E84" s="440">
        <v>71</v>
      </c>
      <c r="F84" s="440">
        <v>0.85</v>
      </c>
      <c r="G84" s="440">
        <v>1.01</v>
      </c>
      <c r="H84" s="440">
        <v>1.01</v>
      </c>
      <c r="I84" s="443"/>
      <c r="J84" s="440">
        <v>0.92</v>
      </c>
      <c r="K84" s="440">
        <v>1.02</v>
      </c>
      <c r="L84" s="440">
        <v>1.01</v>
      </c>
      <c r="N84" s="444">
        <f t="shared" si="1"/>
        <v>-7.6086956521739246E-2</v>
      </c>
      <c r="O84" s="444">
        <f t="shared" si="1"/>
        <v>-9.8039215686274161E-3</v>
      </c>
      <c r="P84" s="444">
        <f t="shared" si="1"/>
        <v>0</v>
      </c>
    </row>
    <row r="85" spans="2:16" x14ac:dyDescent="0.2">
      <c r="B85" s="440" t="s">
        <v>1787</v>
      </c>
      <c r="C85" s="440" t="s">
        <v>1804</v>
      </c>
      <c r="D85" s="440" t="s">
        <v>1805</v>
      </c>
      <c r="E85" s="440">
        <v>72</v>
      </c>
      <c r="F85" s="440">
        <v>0.85</v>
      </c>
      <c r="G85" s="440">
        <v>1.01</v>
      </c>
      <c r="H85" s="440">
        <v>1.01</v>
      </c>
      <c r="I85" s="443"/>
      <c r="J85" s="440">
        <v>0.92</v>
      </c>
      <c r="K85" s="440">
        <v>1.02</v>
      </c>
      <c r="L85" s="440">
        <v>1.01</v>
      </c>
      <c r="N85" s="444">
        <f t="shared" si="1"/>
        <v>-7.6086956521739246E-2</v>
      </c>
      <c r="O85" s="444">
        <f t="shared" si="1"/>
        <v>-9.8039215686274161E-3</v>
      </c>
      <c r="P85" s="444">
        <f t="shared" si="1"/>
        <v>0</v>
      </c>
    </row>
    <row r="86" spans="2:16" x14ac:dyDescent="0.2">
      <c r="B86" s="440" t="s">
        <v>1787</v>
      </c>
      <c r="C86" s="440" t="s">
        <v>1804</v>
      </c>
      <c r="D86" s="440" t="s">
        <v>1805</v>
      </c>
      <c r="E86" s="440">
        <v>73</v>
      </c>
      <c r="F86" s="440">
        <v>0.85</v>
      </c>
      <c r="G86" s="440">
        <v>1.01</v>
      </c>
      <c r="H86" s="440">
        <v>1.01</v>
      </c>
      <c r="I86" s="443"/>
      <c r="J86" s="440">
        <v>0.92</v>
      </c>
      <c r="K86" s="440">
        <v>1.02</v>
      </c>
      <c r="L86" s="440">
        <v>1.01</v>
      </c>
      <c r="N86" s="444">
        <f t="shared" si="1"/>
        <v>-7.6086956521739246E-2</v>
      </c>
      <c r="O86" s="444">
        <f t="shared" si="1"/>
        <v>-9.8039215686274161E-3</v>
      </c>
      <c r="P86" s="444">
        <f t="shared" si="1"/>
        <v>0</v>
      </c>
    </row>
    <row r="87" spans="2:16" x14ac:dyDescent="0.2">
      <c r="B87" s="440" t="s">
        <v>1787</v>
      </c>
      <c r="C87" s="440" t="s">
        <v>1804</v>
      </c>
      <c r="D87" s="440" t="s">
        <v>1805</v>
      </c>
      <c r="E87" s="440">
        <v>74</v>
      </c>
      <c r="F87" s="440">
        <v>0.85</v>
      </c>
      <c r="G87" s="443">
        <v>1</v>
      </c>
      <c r="H87" s="443">
        <v>1</v>
      </c>
      <c r="I87" s="443"/>
      <c r="J87" s="440">
        <v>0.92</v>
      </c>
      <c r="K87" s="440">
        <v>1.02</v>
      </c>
      <c r="L87" s="440">
        <v>1.01</v>
      </c>
      <c r="N87" s="444">
        <f t="shared" si="1"/>
        <v>-7.6086956521739246E-2</v>
      </c>
      <c r="O87" s="444">
        <f t="shared" si="1"/>
        <v>-1.9607843137254943E-2</v>
      </c>
      <c r="P87" s="444">
        <f t="shared" si="1"/>
        <v>-9.9009900990099098E-3</v>
      </c>
    </row>
    <row r="88" spans="2:16" x14ac:dyDescent="0.2">
      <c r="B88" s="440" t="s">
        <v>1787</v>
      </c>
      <c r="C88" s="440" t="s">
        <v>1804</v>
      </c>
      <c r="D88" s="440" t="s">
        <v>1805</v>
      </c>
      <c r="E88" s="440">
        <v>75</v>
      </c>
      <c r="F88" s="440">
        <v>0.85</v>
      </c>
      <c r="G88" s="443">
        <v>1</v>
      </c>
      <c r="H88" s="443">
        <v>1</v>
      </c>
      <c r="I88" s="443"/>
      <c r="J88" s="440">
        <v>0.92</v>
      </c>
      <c r="K88" s="440">
        <v>1.02</v>
      </c>
      <c r="L88" s="443">
        <v>1</v>
      </c>
      <c r="N88" s="444">
        <f t="shared" si="1"/>
        <v>-7.6086956521739246E-2</v>
      </c>
      <c r="O88" s="444">
        <f t="shared" si="1"/>
        <v>-1.9607843137254943E-2</v>
      </c>
      <c r="P88" s="444">
        <f t="shared" si="1"/>
        <v>0</v>
      </c>
    </row>
    <row r="89" spans="2:16" x14ac:dyDescent="0.2">
      <c r="B89" s="440" t="s">
        <v>1787</v>
      </c>
      <c r="C89" s="440" t="s">
        <v>1804</v>
      </c>
      <c r="D89" s="440" t="s">
        <v>1805</v>
      </c>
      <c r="E89" s="440">
        <v>76</v>
      </c>
      <c r="F89" s="440">
        <v>0.85</v>
      </c>
      <c r="G89" s="443">
        <v>1</v>
      </c>
      <c r="H89" s="443">
        <v>1</v>
      </c>
      <c r="I89" s="443"/>
      <c r="J89" s="440">
        <v>0.92</v>
      </c>
      <c r="K89" s="440">
        <v>1.02</v>
      </c>
      <c r="L89" s="443">
        <v>1</v>
      </c>
      <c r="N89" s="444">
        <f t="shared" si="1"/>
        <v>-7.6086956521739246E-2</v>
      </c>
      <c r="O89" s="444">
        <f t="shared" si="1"/>
        <v>-1.9607843137254943E-2</v>
      </c>
      <c r="P89" s="444">
        <f t="shared" si="1"/>
        <v>0</v>
      </c>
    </row>
    <row r="90" spans="2:16" x14ac:dyDescent="0.2">
      <c r="B90" s="440" t="s">
        <v>1787</v>
      </c>
      <c r="C90" s="440" t="s">
        <v>1804</v>
      </c>
      <c r="D90" s="440" t="s">
        <v>1805</v>
      </c>
      <c r="E90" s="440">
        <v>77</v>
      </c>
      <c r="F90" s="440">
        <v>0.85</v>
      </c>
      <c r="G90" s="443">
        <v>1</v>
      </c>
      <c r="H90" s="443">
        <v>1</v>
      </c>
      <c r="I90" s="443"/>
      <c r="J90" s="440">
        <v>0.92</v>
      </c>
      <c r="K90" s="440">
        <v>1.02</v>
      </c>
      <c r="L90" s="443">
        <v>1</v>
      </c>
      <c r="N90" s="444">
        <f t="shared" si="1"/>
        <v>-7.6086956521739246E-2</v>
      </c>
      <c r="O90" s="444">
        <f t="shared" si="1"/>
        <v>-1.9607843137254943E-2</v>
      </c>
      <c r="P90" s="444">
        <f t="shared" si="1"/>
        <v>0</v>
      </c>
    </row>
    <row r="91" spans="2:16" x14ac:dyDescent="0.2">
      <c r="B91" s="440" t="s">
        <v>1787</v>
      </c>
      <c r="C91" s="440" t="s">
        <v>1804</v>
      </c>
      <c r="D91" s="440" t="s">
        <v>1805</v>
      </c>
      <c r="E91" s="440">
        <v>78</v>
      </c>
      <c r="F91" s="440">
        <v>0.85</v>
      </c>
      <c r="G91" s="443">
        <v>1</v>
      </c>
      <c r="H91" s="443">
        <v>1</v>
      </c>
      <c r="I91" s="443"/>
      <c r="J91" s="440">
        <v>0.92</v>
      </c>
      <c r="K91" s="440">
        <v>1.02</v>
      </c>
      <c r="L91" s="443">
        <v>1</v>
      </c>
      <c r="N91" s="444">
        <f t="shared" si="1"/>
        <v>-7.6086956521739246E-2</v>
      </c>
      <c r="O91" s="444">
        <f t="shared" si="1"/>
        <v>-1.9607843137254943E-2</v>
      </c>
      <c r="P91" s="444">
        <f t="shared" si="1"/>
        <v>0</v>
      </c>
    </row>
    <row r="92" spans="2:16" x14ac:dyDescent="0.2">
      <c r="B92" s="440" t="s">
        <v>1787</v>
      </c>
      <c r="C92" s="440" t="s">
        <v>1804</v>
      </c>
      <c r="D92" s="440" t="s">
        <v>1805</v>
      </c>
      <c r="E92" s="440">
        <v>79</v>
      </c>
      <c r="F92" s="440">
        <v>0.85</v>
      </c>
      <c r="G92" s="443">
        <v>1</v>
      </c>
      <c r="H92" s="443">
        <v>1</v>
      </c>
      <c r="I92" s="443"/>
      <c r="J92" s="440">
        <v>0.92</v>
      </c>
      <c r="K92" s="440">
        <v>1.02</v>
      </c>
      <c r="L92" s="443">
        <v>1</v>
      </c>
      <c r="N92" s="444">
        <f t="shared" si="1"/>
        <v>-7.6086956521739246E-2</v>
      </c>
      <c r="O92" s="444">
        <f t="shared" si="1"/>
        <v>-1.9607843137254943E-2</v>
      </c>
      <c r="P92" s="444">
        <f t="shared" si="1"/>
        <v>0</v>
      </c>
    </row>
    <row r="93" spans="2:16" x14ac:dyDescent="0.2">
      <c r="B93" s="440" t="s">
        <v>1787</v>
      </c>
      <c r="C93" s="440" t="s">
        <v>1804</v>
      </c>
      <c r="D93" s="440" t="s">
        <v>1805</v>
      </c>
      <c r="E93" s="440">
        <v>80</v>
      </c>
      <c r="F93" s="440">
        <v>0.85</v>
      </c>
      <c r="G93" s="443">
        <v>1</v>
      </c>
      <c r="H93" s="443">
        <v>1</v>
      </c>
      <c r="I93" s="443"/>
      <c r="J93" s="440">
        <v>0.92</v>
      </c>
      <c r="K93" s="440">
        <v>1.02</v>
      </c>
      <c r="L93" s="443">
        <v>1</v>
      </c>
      <c r="N93" s="444">
        <f t="shared" si="1"/>
        <v>-7.6086956521739246E-2</v>
      </c>
      <c r="O93" s="444">
        <f t="shared" si="1"/>
        <v>-1.9607843137254943E-2</v>
      </c>
      <c r="P93" s="444">
        <f t="shared" si="1"/>
        <v>0</v>
      </c>
    </row>
    <row r="94" spans="2:16" x14ac:dyDescent="0.2">
      <c r="B94" s="440" t="s">
        <v>1787</v>
      </c>
      <c r="C94" s="440" t="s">
        <v>1804</v>
      </c>
      <c r="D94" s="440" t="s">
        <v>1805</v>
      </c>
      <c r="E94" s="440">
        <v>81</v>
      </c>
      <c r="F94" s="440">
        <v>0.85</v>
      </c>
      <c r="G94" s="443">
        <v>1</v>
      </c>
      <c r="H94" s="443">
        <v>1</v>
      </c>
      <c r="I94" s="443"/>
      <c r="J94" s="440">
        <v>0.92</v>
      </c>
      <c r="K94" s="440">
        <v>1.02</v>
      </c>
      <c r="L94" s="443">
        <v>1</v>
      </c>
      <c r="N94" s="444">
        <f t="shared" si="1"/>
        <v>-7.6086956521739246E-2</v>
      </c>
      <c r="O94" s="444">
        <f t="shared" si="1"/>
        <v>-1.9607843137254943E-2</v>
      </c>
      <c r="P94" s="444">
        <f t="shared" si="1"/>
        <v>0</v>
      </c>
    </row>
    <row r="95" spans="2:16" x14ac:dyDescent="0.2">
      <c r="B95" s="440" t="s">
        <v>1787</v>
      </c>
      <c r="C95" s="440" t="s">
        <v>1804</v>
      </c>
      <c r="D95" s="440" t="s">
        <v>1805</v>
      </c>
      <c r="E95" s="440">
        <v>82</v>
      </c>
      <c r="F95" s="440">
        <v>0.85</v>
      </c>
      <c r="G95" s="443">
        <v>1</v>
      </c>
      <c r="H95" s="443">
        <v>1</v>
      </c>
      <c r="I95" s="443"/>
      <c r="J95" s="440">
        <v>0.92</v>
      </c>
      <c r="K95" s="440">
        <v>1.02</v>
      </c>
      <c r="L95" s="443">
        <v>1</v>
      </c>
      <c r="N95" s="444">
        <f t="shared" si="1"/>
        <v>-7.6086956521739246E-2</v>
      </c>
      <c r="O95" s="444">
        <f t="shared" si="1"/>
        <v>-1.9607843137254943E-2</v>
      </c>
      <c r="P95" s="444">
        <f t="shared" si="1"/>
        <v>0</v>
      </c>
    </row>
    <row r="96" spans="2:16" x14ac:dyDescent="0.2">
      <c r="B96" s="440" t="s">
        <v>1787</v>
      </c>
      <c r="C96" s="440" t="s">
        <v>1804</v>
      </c>
      <c r="D96" s="440" t="s">
        <v>1805</v>
      </c>
      <c r="E96" s="440">
        <v>83</v>
      </c>
      <c r="F96" s="440">
        <v>0.85</v>
      </c>
      <c r="G96" s="443">
        <v>1</v>
      </c>
      <c r="H96" s="443">
        <v>1</v>
      </c>
      <c r="I96" s="443"/>
      <c r="J96" s="440">
        <v>0.92</v>
      </c>
      <c r="K96" s="440">
        <v>1.02</v>
      </c>
      <c r="L96" s="443">
        <v>1</v>
      </c>
      <c r="N96" s="444">
        <f t="shared" si="1"/>
        <v>-7.6086956521739246E-2</v>
      </c>
      <c r="O96" s="444">
        <f t="shared" si="1"/>
        <v>-1.9607843137254943E-2</v>
      </c>
      <c r="P96" s="444">
        <f t="shared" si="1"/>
        <v>0</v>
      </c>
    </row>
    <row r="97" spans="2:16" x14ac:dyDescent="0.2">
      <c r="B97" s="440" t="s">
        <v>1787</v>
      </c>
      <c r="C97" s="440" t="s">
        <v>1804</v>
      </c>
      <c r="D97" s="440" t="s">
        <v>1805</v>
      </c>
      <c r="E97" s="440">
        <v>84</v>
      </c>
      <c r="F97" s="440">
        <v>0.85</v>
      </c>
      <c r="G97" s="443">
        <v>1</v>
      </c>
      <c r="H97" s="443">
        <v>1</v>
      </c>
      <c r="I97" s="443"/>
      <c r="J97" s="440">
        <v>0.92</v>
      </c>
      <c r="K97" s="440">
        <v>1.02</v>
      </c>
      <c r="L97" s="443">
        <v>1</v>
      </c>
      <c r="N97" s="444">
        <f t="shared" si="1"/>
        <v>-7.6086956521739246E-2</v>
      </c>
      <c r="O97" s="444">
        <f t="shared" si="1"/>
        <v>-1.9607843137254943E-2</v>
      </c>
      <c r="P97" s="444">
        <f t="shared" si="1"/>
        <v>0</v>
      </c>
    </row>
    <row r="98" spans="2:16" x14ac:dyDescent="0.2">
      <c r="B98" s="440" t="s">
        <v>1787</v>
      </c>
      <c r="C98" s="440" t="s">
        <v>1804</v>
      </c>
      <c r="D98" s="440" t="s">
        <v>1805</v>
      </c>
      <c r="E98" s="440">
        <v>85</v>
      </c>
      <c r="F98" s="440">
        <v>0.85</v>
      </c>
      <c r="G98" s="443">
        <v>1</v>
      </c>
      <c r="H98" s="443">
        <v>1</v>
      </c>
      <c r="I98" s="443"/>
      <c r="J98" s="440">
        <v>0.92</v>
      </c>
      <c r="K98" s="440">
        <v>1.02</v>
      </c>
      <c r="L98" s="443">
        <v>1</v>
      </c>
      <c r="N98" s="444">
        <f t="shared" si="1"/>
        <v>-7.6086956521739246E-2</v>
      </c>
      <c r="O98" s="444">
        <f t="shared" si="1"/>
        <v>-1.9607843137254943E-2</v>
      </c>
      <c r="P98" s="444">
        <f t="shared" si="1"/>
        <v>0</v>
      </c>
    </row>
    <row r="99" spans="2:16" x14ac:dyDescent="0.2">
      <c r="B99" s="440" t="s">
        <v>1787</v>
      </c>
      <c r="C99" s="440" t="s">
        <v>1804</v>
      </c>
      <c r="D99" s="440" t="s">
        <v>1805</v>
      </c>
      <c r="E99" s="440">
        <v>86</v>
      </c>
      <c r="F99" s="440">
        <v>0.85</v>
      </c>
      <c r="G99" s="443">
        <v>1</v>
      </c>
      <c r="H99" s="443">
        <v>1</v>
      </c>
      <c r="I99" s="443"/>
      <c r="J99" s="440">
        <v>0.92</v>
      </c>
      <c r="K99" s="440">
        <v>1.02</v>
      </c>
      <c r="L99" s="443">
        <v>1</v>
      </c>
      <c r="N99" s="444">
        <f t="shared" si="1"/>
        <v>-7.6086956521739246E-2</v>
      </c>
      <c r="O99" s="444">
        <f t="shared" si="1"/>
        <v>-1.9607843137254943E-2</v>
      </c>
      <c r="P99" s="444">
        <f t="shared" si="1"/>
        <v>0</v>
      </c>
    </row>
    <row r="100" spans="2:16" x14ac:dyDescent="0.2">
      <c r="B100" s="440" t="s">
        <v>1787</v>
      </c>
      <c r="C100" s="440" t="s">
        <v>1804</v>
      </c>
      <c r="D100" s="440" t="s">
        <v>1805</v>
      </c>
      <c r="E100" s="440">
        <v>87</v>
      </c>
      <c r="F100" s="440">
        <v>0.85</v>
      </c>
      <c r="G100" s="443">
        <v>1</v>
      </c>
      <c r="H100" s="443">
        <v>1</v>
      </c>
      <c r="I100" s="443"/>
      <c r="J100" s="440">
        <v>0.92</v>
      </c>
      <c r="K100" s="440">
        <v>1.02</v>
      </c>
      <c r="L100" s="443">
        <v>1</v>
      </c>
      <c r="N100" s="444">
        <f t="shared" si="1"/>
        <v>-7.6086956521739246E-2</v>
      </c>
      <c r="O100" s="444">
        <f t="shared" si="1"/>
        <v>-1.9607843137254943E-2</v>
      </c>
      <c r="P100" s="444">
        <f t="shared" si="1"/>
        <v>0</v>
      </c>
    </row>
    <row r="101" spans="2:16" x14ac:dyDescent="0.2">
      <c r="B101" s="440" t="s">
        <v>1787</v>
      </c>
      <c r="C101" s="440" t="s">
        <v>1804</v>
      </c>
      <c r="D101" s="440" t="s">
        <v>1805</v>
      </c>
      <c r="E101" s="440">
        <v>88</v>
      </c>
      <c r="F101" s="440">
        <v>0.85</v>
      </c>
      <c r="G101" s="443">
        <v>1</v>
      </c>
      <c r="H101" s="443">
        <v>1</v>
      </c>
      <c r="I101" s="443"/>
      <c r="J101" s="440">
        <v>0.92</v>
      </c>
      <c r="K101" s="440">
        <v>1.02</v>
      </c>
      <c r="L101" s="443">
        <v>1</v>
      </c>
      <c r="N101" s="444">
        <f t="shared" si="1"/>
        <v>-7.6086956521739246E-2</v>
      </c>
      <c r="O101" s="444">
        <f t="shared" si="1"/>
        <v>-1.9607843137254943E-2</v>
      </c>
      <c r="P101" s="444">
        <f t="shared" si="1"/>
        <v>0</v>
      </c>
    </row>
    <row r="102" spans="2:16" x14ac:dyDescent="0.2">
      <c r="B102" s="440" t="s">
        <v>1787</v>
      </c>
      <c r="C102" s="440" t="s">
        <v>1804</v>
      </c>
      <c r="D102" s="440" t="s">
        <v>1805</v>
      </c>
      <c r="E102" s="440">
        <v>89</v>
      </c>
      <c r="F102" s="440">
        <v>0.85</v>
      </c>
      <c r="G102" s="443">
        <v>1</v>
      </c>
      <c r="H102" s="443">
        <v>1</v>
      </c>
      <c r="I102" s="443"/>
      <c r="J102" s="440">
        <v>0.92</v>
      </c>
      <c r="K102" s="440">
        <v>1.02</v>
      </c>
      <c r="L102" s="443">
        <v>1</v>
      </c>
      <c r="N102" s="444">
        <f t="shared" si="1"/>
        <v>-7.6086956521739246E-2</v>
      </c>
      <c r="O102" s="444">
        <f t="shared" si="1"/>
        <v>-1.9607843137254943E-2</v>
      </c>
      <c r="P102" s="444">
        <f t="shared" si="1"/>
        <v>0</v>
      </c>
    </row>
    <row r="103" spans="2:16" x14ac:dyDescent="0.2">
      <c r="B103" s="440" t="s">
        <v>1787</v>
      </c>
      <c r="C103" s="440" t="s">
        <v>1804</v>
      </c>
      <c r="D103" s="440" t="s">
        <v>1805</v>
      </c>
      <c r="E103" s="440">
        <v>90</v>
      </c>
      <c r="F103" s="440">
        <v>0.85</v>
      </c>
      <c r="G103" s="443">
        <v>1</v>
      </c>
      <c r="H103" s="443">
        <v>1</v>
      </c>
      <c r="I103" s="443"/>
      <c r="J103" s="440">
        <v>0.92</v>
      </c>
      <c r="K103" s="440">
        <v>1.02</v>
      </c>
      <c r="L103" s="443">
        <v>1</v>
      </c>
      <c r="N103" s="444">
        <f t="shared" si="1"/>
        <v>-7.6086956521739246E-2</v>
      </c>
      <c r="O103" s="444">
        <f t="shared" si="1"/>
        <v>-1.9607843137254943E-2</v>
      </c>
      <c r="P103" s="444">
        <f t="shared" si="1"/>
        <v>0</v>
      </c>
    </row>
    <row r="104" spans="2:16" x14ac:dyDescent="0.2">
      <c r="B104" s="440" t="s">
        <v>1787</v>
      </c>
      <c r="C104" s="440" t="s">
        <v>1804</v>
      </c>
      <c r="D104" s="440" t="s">
        <v>1805</v>
      </c>
      <c r="E104" s="440">
        <v>91</v>
      </c>
      <c r="F104" s="440">
        <v>0.85</v>
      </c>
      <c r="G104" s="443">
        <v>1</v>
      </c>
      <c r="H104" s="443">
        <v>1</v>
      </c>
      <c r="I104" s="443"/>
      <c r="J104" s="440">
        <v>0.92</v>
      </c>
      <c r="K104" s="440">
        <v>1.02</v>
      </c>
      <c r="L104" s="443">
        <v>1</v>
      </c>
      <c r="N104" s="444">
        <f t="shared" si="1"/>
        <v>-7.6086956521739246E-2</v>
      </c>
      <c r="O104" s="444">
        <f t="shared" si="1"/>
        <v>-1.9607843137254943E-2</v>
      </c>
      <c r="P104" s="444">
        <f t="shared" si="1"/>
        <v>0</v>
      </c>
    </row>
    <row r="105" spans="2:16" x14ac:dyDescent="0.2">
      <c r="B105" s="440" t="s">
        <v>1787</v>
      </c>
      <c r="C105" s="440" t="s">
        <v>1804</v>
      </c>
      <c r="D105" s="440" t="s">
        <v>1805</v>
      </c>
      <c r="E105" s="440">
        <v>92</v>
      </c>
      <c r="F105" s="440">
        <v>0.85</v>
      </c>
      <c r="G105" s="443">
        <v>1</v>
      </c>
      <c r="H105" s="443">
        <v>1</v>
      </c>
      <c r="I105" s="443"/>
      <c r="J105" s="440">
        <v>0.92</v>
      </c>
      <c r="K105" s="440">
        <v>1.02</v>
      </c>
      <c r="L105" s="443">
        <v>1</v>
      </c>
      <c r="N105" s="444">
        <f t="shared" si="1"/>
        <v>-7.6086956521739246E-2</v>
      </c>
      <c r="O105" s="444">
        <f t="shared" si="1"/>
        <v>-1.9607843137254943E-2</v>
      </c>
      <c r="P105" s="444">
        <f t="shared" si="1"/>
        <v>0</v>
      </c>
    </row>
    <row r="106" spans="2:16" x14ac:dyDescent="0.2">
      <c r="B106" s="440" t="s">
        <v>1787</v>
      </c>
      <c r="C106" s="440" t="s">
        <v>1804</v>
      </c>
      <c r="D106" s="440" t="s">
        <v>1805</v>
      </c>
      <c r="E106" s="440">
        <v>93</v>
      </c>
      <c r="F106" s="440">
        <v>0.85</v>
      </c>
      <c r="G106" s="443">
        <v>1</v>
      </c>
      <c r="H106" s="443">
        <v>1</v>
      </c>
      <c r="I106" s="443"/>
      <c r="J106" s="440">
        <v>0.92</v>
      </c>
      <c r="K106" s="440">
        <v>1.02</v>
      </c>
      <c r="L106" s="443">
        <v>1</v>
      </c>
      <c r="N106" s="444">
        <f t="shared" si="1"/>
        <v>-7.6086956521739246E-2</v>
      </c>
      <c r="O106" s="444">
        <f t="shared" si="1"/>
        <v>-1.9607843137254943E-2</v>
      </c>
      <c r="P106" s="444">
        <f t="shared" si="1"/>
        <v>0</v>
      </c>
    </row>
    <row r="107" spans="2:16" x14ac:dyDescent="0.2">
      <c r="B107" s="440" t="s">
        <v>1787</v>
      </c>
      <c r="C107" s="440" t="s">
        <v>1804</v>
      </c>
      <c r="D107" s="440" t="s">
        <v>1805</v>
      </c>
      <c r="E107" s="440">
        <v>94</v>
      </c>
      <c r="F107" s="440">
        <v>0.85</v>
      </c>
      <c r="G107" s="443">
        <v>1</v>
      </c>
      <c r="H107" s="443">
        <v>1</v>
      </c>
      <c r="I107" s="443"/>
      <c r="J107" s="440">
        <v>0.92</v>
      </c>
      <c r="K107" s="440">
        <v>1.02</v>
      </c>
      <c r="L107" s="443">
        <v>1</v>
      </c>
      <c r="N107" s="444">
        <f t="shared" si="1"/>
        <v>-7.6086956521739246E-2</v>
      </c>
      <c r="O107" s="444">
        <f t="shared" si="1"/>
        <v>-1.9607843137254943E-2</v>
      </c>
      <c r="P107" s="444">
        <f t="shared" si="1"/>
        <v>0</v>
      </c>
    </row>
    <row r="108" spans="2:16" x14ac:dyDescent="0.2">
      <c r="B108" s="440" t="s">
        <v>1787</v>
      </c>
      <c r="C108" s="440" t="s">
        <v>1804</v>
      </c>
      <c r="D108" s="440" t="s">
        <v>1805</v>
      </c>
      <c r="E108" s="440">
        <v>95</v>
      </c>
      <c r="F108" s="440">
        <v>0.85</v>
      </c>
      <c r="G108" s="443">
        <v>1</v>
      </c>
      <c r="H108" s="443">
        <v>1</v>
      </c>
      <c r="I108" s="443"/>
      <c r="J108" s="440">
        <v>0.92</v>
      </c>
      <c r="K108" s="440">
        <v>1.02</v>
      </c>
      <c r="L108" s="443">
        <v>1</v>
      </c>
      <c r="N108" s="444">
        <f t="shared" si="1"/>
        <v>-7.6086956521739246E-2</v>
      </c>
      <c r="O108" s="444">
        <f t="shared" si="1"/>
        <v>-1.9607843137254943E-2</v>
      </c>
      <c r="P108" s="444">
        <f t="shared" si="1"/>
        <v>0</v>
      </c>
    </row>
    <row r="109" spans="2:16" x14ac:dyDescent="0.2">
      <c r="B109" s="440" t="s">
        <v>1787</v>
      </c>
      <c r="C109" s="440" t="s">
        <v>1804</v>
      </c>
      <c r="D109" s="440" t="s">
        <v>1805</v>
      </c>
      <c r="E109" s="440">
        <v>96</v>
      </c>
      <c r="F109" s="440">
        <v>0.85</v>
      </c>
      <c r="G109" s="443">
        <v>1</v>
      </c>
      <c r="H109" s="443">
        <v>1</v>
      </c>
      <c r="I109" s="443"/>
      <c r="J109" s="440">
        <v>0.92</v>
      </c>
      <c r="K109" s="440">
        <v>1.02</v>
      </c>
      <c r="L109" s="443">
        <v>1</v>
      </c>
      <c r="N109" s="444">
        <f t="shared" si="1"/>
        <v>-7.6086956521739246E-2</v>
      </c>
      <c r="O109" s="444">
        <f t="shared" si="1"/>
        <v>-1.9607843137254943E-2</v>
      </c>
      <c r="P109" s="444">
        <f t="shared" si="1"/>
        <v>0</v>
      </c>
    </row>
    <row r="110" spans="2:16" x14ac:dyDescent="0.2">
      <c r="B110" s="440" t="s">
        <v>1787</v>
      </c>
      <c r="C110" s="440" t="s">
        <v>1804</v>
      </c>
      <c r="D110" s="440" t="s">
        <v>1805</v>
      </c>
      <c r="E110" s="440">
        <v>97</v>
      </c>
      <c r="F110" s="440">
        <v>0.85</v>
      </c>
      <c r="G110" s="443">
        <v>1</v>
      </c>
      <c r="H110" s="443">
        <v>1</v>
      </c>
      <c r="I110" s="443"/>
      <c r="J110" s="440">
        <v>0.92</v>
      </c>
      <c r="K110" s="440">
        <v>1.02</v>
      </c>
      <c r="L110" s="443">
        <v>1</v>
      </c>
      <c r="N110" s="444">
        <f t="shared" si="1"/>
        <v>-7.6086956521739246E-2</v>
      </c>
      <c r="O110" s="444">
        <f t="shared" si="1"/>
        <v>-1.9607843137254943E-2</v>
      </c>
      <c r="P110" s="444">
        <f t="shared" si="1"/>
        <v>0</v>
      </c>
    </row>
    <row r="111" spans="2:16" x14ac:dyDescent="0.2">
      <c r="B111" s="440" t="s">
        <v>1787</v>
      </c>
      <c r="C111" s="440" t="s">
        <v>1804</v>
      </c>
      <c r="D111" s="440" t="s">
        <v>1805</v>
      </c>
      <c r="E111" s="440">
        <v>98</v>
      </c>
      <c r="F111" s="440">
        <v>0.85</v>
      </c>
      <c r="G111" s="443">
        <v>1</v>
      </c>
      <c r="H111" s="443">
        <v>1</v>
      </c>
      <c r="I111" s="443"/>
      <c r="J111" s="440">
        <v>0.92</v>
      </c>
      <c r="K111" s="440">
        <v>1.02</v>
      </c>
      <c r="L111" s="443">
        <v>1</v>
      </c>
      <c r="N111" s="444">
        <f t="shared" si="1"/>
        <v>-7.6086956521739246E-2</v>
      </c>
      <c r="O111" s="444">
        <f t="shared" si="1"/>
        <v>-1.9607843137254943E-2</v>
      </c>
      <c r="P111" s="444">
        <f t="shared" si="1"/>
        <v>0</v>
      </c>
    </row>
    <row r="112" spans="2:16" x14ac:dyDescent="0.2">
      <c r="B112" s="440" t="s">
        <v>1787</v>
      </c>
      <c r="C112" s="440" t="s">
        <v>1804</v>
      </c>
      <c r="D112" s="440" t="s">
        <v>1805</v>
      </c>
      <c r="E112" s="440">
        <v>99</v>
      </c>
      <c r="F112" s="440">
        <v>0.85</v>
      </c>
      <c r="G112" s="443">
        <v>1</v>
      </c>
      <c r="H112" s="443">
        <v>1</v>
      </c>
      <c r="I112" s="443"/>
      <c r="J112" s="440">
        <v>0.92</v>
      </c>
      <c r="K112" s="440">
        <v>1.02</v>
      </c>
      <c r="L112" s="443">
        <v>1</v>
      </c>
      <c r="N112" s="444">
        <f t="shared" si="1"/>
        <v>-7.6086956521739246E-2</v>
      </c>
      <c r="O112" s="444">
        <f t="shared" si="1"/>
        <v>-1.9607843137254943E-2</v>
      </c>
      <c r="P112" s="444">
        <f t="shared" si="1"/>
        <v>0</v>
      </c>
    </row>
    <row r="113" spans="2:16" x14ac:dyDescent="0.2">
      <c r="B113" s="440" t="s">
        <v>1787</v>
      </c>
      <c r="C113" s="440" t="s">
        <v>1804</v>
      </c>
      <c r="D113" s="440" t="s">
        <v>1805</v>
      </c>
      <c r="E113" s="440">
        <v>100</v>
      </c>
      <c r="F113" s="440">
        <v>0.85</v>
      </c>
      <c r="G113" s="443">
        <v>1</v>
      </c>
      <c r="H113" s="443">
        <v>1</v>
      </c>
      <c r="I113" s="443"/>
      <c r="J113" s="440">
        <v>0.92</v>
      </c>
      <c r="K113" s="440">
        <v>1.02</v>
      </c>
      <c r="L113" s="443">
        <v>1</v>
      </c>
      <c r="N113" s="444">
        <f t="shared" si="1"/>
        <v>-7.6086956521739246E-2</v>
      </c>
      <c r="O113" s="444">
        <f t="shared" si="1"/>
        <v>-1.9607843137254943E-2</v>
      </c>
      <c r="P113" s="444">
        <f t="shared" si="1"/>
        <v>0</v>
      </c>
    </row>
    <row r="114" spans="2:16" x14ac:dyDescent="0.2">
      <c r="B114" s="440" t="s">
        <v>1787</v>
      </c>
      <c r="C114" s="440" t="s">
        <v>1804</v>
      </c>
      <c r="D114" s="440" t="s">
        <v>1806</v>
      </c>
      <c r="E114" s="440">
        <v>0</v>
      </c>
      <c r="F114" s="440">
        <v>0.85</v>
      </c>
      <c r="G114" s="443">
        <v>1.02</v>
      </c>
      <c r="H114" s="443">
        <v>2.5</v>
      </c>
      <c r="I114" s="443"/>
      <c r="J114" s="440">
        <v>0.92</v>
      </c>
      <c r="K114" s="440">
        <v>1.02</v>
      </c>
      <c r="L114" s="443">
        <v>2.5</v>
      </c>
      <c r="N114" s="444">
        <f t="shared" si="1"/>
        <v>-7.6086956521739246E-2</v>
      </c>
      <c r="O114" s="444">
        <f t="shared" si="1"/>
        <v>0</v>
      </c>
      <c r="P114" s="444">
        <f t="shared" si="1"/>
        <v>0</v>
      </c>
    </row>
    <row r="115" spans="2:16" x14ac:dyDescent="0.2">
      <c r="B115" s="440" t="s">
        <v>1787</v>
      </c>
      <c r="C115" s="440" t="s">
        <v>1804</v>
      </c>
      <c r="D115" s="440" t="s">
        <v>1806</v>
      </c>
      <c r="E115" s="440">
        <v>1</v>
      </c>
      <c r="F115" s="440">
        <v>0.85</v>
      </c>
      <c r="G115" s="443">
        <v>1.02</v>
      </c>
      <c r="H115" s="443">
        <v>2.4</v>
      </c>
      <c r="I115" s="443"/>
      <c r="J115" s="440">
        <v>0.92</v>
      </c>
      <c r="K115" s="440">
        <v>1.02</v>
      </c>
      <c r="L115" s="443">
        <v>2.5</v>
      </c>
      <c r="N115" s="444">
        <f t="shared" si="1"/>
        <v>-7.6086956521739246E-2</v>
      </c>
      <c r="O115" s="444">
        <f t="shared" si="1"/>
        <v>0</v>
      </c>
      <c r="P115" s="444">
        <f t="shared" si="1"/>
        <v>-4.0000000000000036E-2</v>
      </c>
    </row>
    <row r="116" spans="2:16" x14ac:dyDescent="0.2">
      <c r="B116" s="440" t="s">
        <v>1787</v>
      </c>
      <c r="C116" s="440" t="s">
        <v>1804</v>
      </c>
      <c r="D116" s="440" t="s">
        <v>1806</v>
      </c>
      <c r="E116" s="440">
        <v>2</v>
      </c>
      <c r="F116" s="440">
        <v>0.85</v>
      </c>
      <c r="G116" s="443">
        <v>1.02</v>
      </c>
      <c r="H116" s="443">
        <v>2.2999999999999998</v>
      </c>
      <c r="I116" s="443"/>
      <c r="J116" s="440">
        <v>0.92</v>
      </c>
      <c r="K116" s="440">
        <v>1.02</v>
      </c>
      <c r="L116" s="443">
        <v>2.5</v>
      </c>
      <c r="N116" s="444">
        <f t="shared" si="1"/>
        <v>-7.6086956521739246E-2</v>
      </c>
      <c r="O116" s="444">
        <f t="shared" si="1"/>
        <v>0</v>
      </c>
      <c r="P116" s="444">
        <f t="shared" si="1"/>
        <v>-8.0000000000000071E-2</v>
      </c>
    </row>
    <row r="117" spans="2:16" x14ac:dyDescent="0.2">
      <c r="B117" s="440" t="s">
        <v>1787</v>
      </c>
      <c r="C117" s="440" t="s">
        <v>1804</v>
      </c>
      <c r="D117" s="440" t="s">
        <v>1806</v>
      </c>
      <c r="E117" s="440">
        <v>3</v>
      </c>
      <c r="F117" s="440">
        <v>0.85</v>
      </c>
      <c r="G117" s="443">
        <v>1.02</v>
      </c>
      <c r="H117" s="443">
        <v>2.2000000000000002</v>
      </c>
      <c r="I117" s="443"/>
      <c r="J117" s="440">
        <v>0.92</v>
      </c>
      <c r="K117" s="440">
        <v>1.02</v>
      </c>
      <c r="L117" s="443">
        <v>2.5</v>
      </c>
      <c r="N117" s="444">
        <f t="shared" si="1"/>
        <v>-7.6086956521739246E-2</v>
      </c>
      <c r="O117" s="444">
        <f t="shared" si="1"/>
        <v>0</v>
      </c>
      <c r="P117" s="444">
        <f t="shared" si="1"/>
        <v>-0.11999999999999988</v>
      </c>
    </row>
    <row r="118" spans="2:16" x14ac:dyDescent="0.2">
      <c r="B118" s="440" t="s">
        <v>1787</v>
      </c>
      <c r="C118" s="440" t="s">
        <v>1804</v>
      </c>
      <c r="D118" s="440" t="s">
        <v>1806</v>
      </c>
      <c r="E118" s="440">
        <v>4</v>
      </c>
      <c r="F118" s="440">
        <v>0.85</v>
      </c>
      <c r="G118" s="443">
        <v>1.02</v>
      </c>
      <c r="H118" s="443">
        <v>2.15</v>
      </c>
      <c r="I118" s="443"/>
      <c r="J118" s="440">
        <v>0.92</v>
      </c>
      <c r="K118" s="440">
        <v>1.02</v>
      </c>
      <c r="L118" s="443">
        <v>2.4</v>
      </c>
      <c r="N118" s="444">
        <f t="shared" si="1"/>
        <v>-7.6086956521739246E-2</v>
      </c>
      <c r="O118" s="444">
        <f t="shared" si="1"/>
        <v>0</v>
      </c>
      <c r="P118" s="444">
        <f t="shared" si="1"/>
        <v>-0.10416666666666663</v>
      </c>
    </row>
    <row r="119" spans="2:16" x14ac:dyDescent="0.2">
      <c r="B119" s="440" t="s">
        <v>1787</v>
      </c>
      <c r="C119" s="440" t="s">
        <v>1804</v>
      </c>
      <c r="D119" s="440" t="s">
        <v>1806</v>
      </c>
      <c r="E119" s="440">
        <v>5</v>
      </c>
      <c r="F119" s="440">
        <v>0.85</v>
      </c>
      <c r="G119" s="443">
        <v>1.02</v>
      </c>
      <c r="H119" s="443">
        <v>2.1</v>
      </c>
      <c r="I119" s="443"/>
      <c r="J119" s="440">
        <v>0.92</v>
      </c>
      <c r="K119" s="440">
        <v>1.02</v>
      </c>
      <c r="L119" s="443">
        <v>2.2999999999999998</v>
      </c>
      <c r="N119" s="444">
        <f t="shared" si="1"/>
        <v>-7.6086956521739246E-2</v>
      </c>
      <c r="O119" s="444">
        <f t="shared" si="1"/>
        <v>0</v>
      </c>
      <c r="P119" s="444">
        <f t="shared" si="1"/>
        <v>-8.6956521739130377E-2</v>
      </c>
    </row>
    <row r="120" spans="2:16" x14ac:dyDescent="0.2">
      <c r="B120" s="440" t="s">
        <v>1787</v>
      </c>
      <c r="C120" s="440" t="s">
        <v>1804</v>
      </c>
      <c r="D120" s="440" t="s">
        <v>1806</v>
      </c>
      <c r="E120" s="440">
        <v>6</v>
      </c>
      <c r="F120" s="440">
        <v>0.85</v>
      </c>
      <c r="G120" s="443">
        <v>1.02</v>
      </c>
      <c r="H120" s="443">
        <v>2.0499999999999998</v>
      </c>
      <c r="I120" s="443"/>
      <c r="J120" s="440">
        <v>0.92</v>
      </c>
      <c r="K120" s="440">
        <v>1.02</v>
      </c>
      <c r="L120" s="443">
        <v>2.2000000000000002</v>
      </c>
      <c r="N120" s="444">
        <f t="shared" si="1"/>
        <v>-7.6086956521739246E-2</v>
      </c>
      <c r="O120" s="444">
        <f t="shared" si="1"/>
        <v>0</v>
      </c>
      <c r="P120" s="444">
        <f t="shared" si="1"/>
        <v>-6.8181818181818343E-2</v>
      </c>
    </row>
    <row r="121" spans="2:16" x14ac:dyDescent="0.2">
      <c r="B121" s="440" t="s">
        <v>1787</v>
      </c>
      <c r="C121" s="440" t="s">
        <v>1804</v>
      </c>
      <c r="D121" s="440" t="s">
        <v>1806</v>
      </c>
      <c r="E121" s="440">
        <v>7</v>
      </c>
      <c r="F121" s="440">
        <v>0.85</v>
      </c>
      <c r="G121" s="443">
        <v>1.02</v>
      </c>
      <c r="H121" s="443">
        <v>2</v>
      </c>
      <c r="I121" s="443"/>
      <c r="J121" s="440">
        <v>0.92</v>
      </c>
      <c r="K121" s="440">
        <v>1.02</v>
      </c>
      <c r="L121" s="443">
        <v>2.1</v>
      </c>
      <c r="N121" s="444">
        <f t="shared" si="1"/>
        <v>-7.6086956521739246E-2</v>
      </c>
      <c r="O121" s="444">
        <f t="shared" si="1"/>
        <v>0</v>
      </c>
      <c r="P121" s="444">
        <f t="shared" si="1"/>
        <v>-4.7619047619047672E-2</v>
      </c>
    </row>
    <row r="122" spans="2:16" x14ac:dyDescent="0.2">
      <c r="B122" s="440" t="s">
        <v>1787</v>
      </c>
      <c r="C122" s="440" t="s">
        <v>1804</v>
      </c>
      <c r="D122" s="440" t="s">
        <v>1806</v>
      </c>
      <c r="E122" s="440">
        <v>8</v>
      </c>
      <c r="F122" s="440">
        <v>0.85</v>
      </c>
      <c r="G122" s="443">
        <v>1.02</v>
      </c>
      <c r="H122" s="443">
        <v>1.95</v>
      </c>
      <c r="I122" s="443"/>
      <c r="J122" s="440">
        <v>0.92</v>
      </c>
      <c r="K122" s="440">
        <v>1.02</v>
      </c>
      <c r="L122" s="443">
        <v>2.0499999999999998</v>
      </c>
      <c r="N122" s="444">
        <f t="shared" si="1"/>
        <v>-7.6086956521739246E-2</v>
      </c>
      <c r="O122" s="444">
        <f t="shared" si="1"/>
        <v>0</v>
      </c>
      <c r="P122" s="444">
        <f t="shared" si="1"/>
        <v>-4.8780487804877981E-2</v>
      </c>
    </row>
    <row r="123" spans="2:16" x14ac:dyDescent="0.2">
      <c r="B123" s="440" t="s">
        <v>1787</v>
      </c>
      <c r="C123" s="440" t="s">
        <v>1804</v>
      </c>
      <c r="D123" s="440" t="s">
        <v>1806</v>
      </c>
      <c r="E123" s="440">
        <v>9</v>
      </c>
      <c r="F123" s="440">
        <v>0.85</v>
      </c>
      <c r="G123" s="443">
        <v>1.02</v>
      </c>
      <c r="H123" s="443">
        <v>1.9</v>
      </c>
      <c r="I123" s="443"/>
      <c r="J123" s="440">
        <v>0.92</v>
      </c>
      <c r="K123" s="440">
        <v>1.02</v>
      </c>
      <c r="L123" s="443">
        <v>2</v>
      </c>
      <c r="N123" s="444">
        <f t="shared" si="1"/>
        <v>-7.6086956521739246E-2</v>
      </c>
      <c r="O123" s="444">
        <f t="shared" si="1"/>
        <v>0</v>
      </c>
      <c r="P123" s="444">
        <f t="shared" si="1"/>
        <v>-5.0000000000000044E-2</v>
      </c>
    </row>
    <row r="124" spans="2:16" x14ac:dyDescent="0.2">
      <c r="B124" s="440" t="s">
        <v>1787</v>
      </c>
      <c r="C124" s="440" t="s">
        <v>1804</v>
      </c>
      <c r="D124" s="440" t="s">
        <v>1806</v>
      </c>
      <c r="E124" s="440">
        <v>10</v>
      </c>
      <c r="F124" s="440">
        <v>0.85</v>
      </c>
      <c r="G124" s="443">
        <v>1.02</v>
      </c>
      <c r="H124" s="443">
        <v>1.85</v>
      </c>
      <c r="I124" s="443"/>
      <c r="J124" s="440">
        <v>0.92</v>
      </c>
      <c r="K124" s="440">
        <v>1.02</v>
      </c>
      <c r="L124" s="443">
        <v>1.9</v>
      </c>
      <c r="N124" s="444">
        <f t="shared" si="1"/>
        <v>-7.6086956521739246E-2</v>
      </c>
      <c r="O124" s="444">
        <f t="shared" si="1"/>
        <v>0</v>
      </c>
      <c r="P124" s="444">
        <f t="shared" si="1"/>
        <v>-2.631578947368407E-2</v>
      </c>
    </row>
    <row r="125" spans="2:16" x14ac:dyDescent="0.2">
      <c r="B125" s="440" t="s">
        <v>1787</v>
      </c>
      <c r="C125" s="440" t="s">
        <v>1804</v>
      </c>
      <c r="D125" s="440" t="s">
        <v>1806</v>
      </c>
      <c r="E125" s="440">
        <v>11</v>
      </c>
      <c r="F125" s="440">
        <v>0.85</v>
      </c>
      <c r="G125" s="443">
        <v>1.02</v>
      </c>
      <c r="H125" s="443">
        <v>1.8</v>
      </c>
      <c r="I125" s="443"/>
      <c r="J125" s="440">
        <v>0.92</v>
      </c>
      <c r="K125" s="440">
        <v>1.02</v>
      </c>
      <c r="L125" s="443">
        <v>1.85</v>
      </c>
      <c r="N125" s="444">
        <f t="shared" si="1"/>
        <v>-7.6086956521739246E-2</v>
      </c>
      <c r="O125" s="444">
        <f t="shared" si="1"/>
        <v>0</v>
      </c>
      <c r="P125" s="444">
        <f t="shared" si="1"/>
        <v>-2.7027027027027084E-2</v>
      </c>
    </row>
    <row r="126" spans="2:16" x14ac:dyDescent="0.2">
      <c r="B126" s="440" t="s">
        <v>1787</v>
      </c>
      <c r="C126" s="440" t="s">
        <v>1804</v>
      </c>
      <c r="D126" s="440" t="s">
        <v>1806</v>
      </c>
      <c r="E126" s="440">
        <v>12</v>
      </c>
      <c r="F126" s="440">
        <v>0.85</v>
      </c>
      <c r="G126" s="443">
        <v>1.02</v>
      </c>
      <c r="H126" s="443">
        <v>1.76</v>
      </c>
      <c r="I126" s="443"/>
      <c r="J126" s="440">
        <v>0.92</v>
      </c>
      <c r="K126" s="440">
        <v>1.02</v>
      </c>
      <c r="L126" s="443">
        <v>1.8</v>
      </c>
      <c r="N126" s="444">
        <f t="shared" si="1"/>
        <v>-7.6086956521739246E-2</v>
      </c>
      <c r="O126" s="444">
        <f t="shared" si="1"/>
        <v>0</v>
      </c>
      <c r="P126" s="444">
        <f t="shared" si="1"/>
        <v>-2.2222222222222254E-2</v>
      </c>
    </row>
    <row r="127" spans="2:16" x14ac:dyDescent="0.2">
      <c r="B127" s="440" t="s">
        <v>1787</v>
      </c>
      <c r="C127" s="440" t="s">
        <v>1804</v>
      </c>
      <c r="D127" s="440" t="s">
        <v>1806</v>
      </c>
      <c r="E127" s="440">
        <v>13</v>
      </c>
      <c r="F127" s="440">
        <v>0.85</v>
      </c>
      <c r="G127" s="443">
        <v>1.02</v>
      </c>
      <c r="H127" s="443">
        <v>1.72</v>
      </c>
      <c r="I127" s="443"/>
      <c r="J127" s="440">
        <v>0.92</v>
      </c>
      <c r="K127" s="440">
        <v>1.02</v>
      </c>
      <c r="L127" s="443">
        <v>1.76</v>
      </c>
      <c r="N127" s="444">
        <f t="shared" si="1"/>
        <v>-7.6086956521739246E-2</v>
      </c>
      <c r="O127" s="444">
        <f t="shared" si="1"/>
        <v>0</v>
      </c>
      <c r="P127" s="444">
        <f t="shared" si="1"/>
        <v>-2.2727272727272707E-2</v>
      </c>
    </row>
    <row r="128" spans="2:16" x14ac:dyDescent="0.2">
      <c r="B128" s="440" t="s">
        <v>1787</v>
      </c>
      <c r="C128" s="440" t="s">
        <v>1804</v>
      </c>
      <c r="D128" s="440" t="s">
        <v>1806</v>
      </c>
      <c r="E128" s="440">
        <v>14</v>
      </c>
      <c r="F128" s="440">
        <v>0.85</v>
      </c>
      <c r="G128" s="443">
        <v>1.02</v>
      </c>
      <c r="H128" s="443">
        <v>1.68</v>
      </c>
      <c r="I128" s="443"/>
      <c r="J128" s="440">
        <v>0.92</v>
      </c>
      <c r="K128" s="440">
        <v>1.02</v>
      </c>
      <c r="L128" s="443">
        <v>1.72</v>
      </c>
      <c r="N128" s="444">
        <f t="shared" si="1"/>
        <v>-7.6086956521739246E-2</v>
      </c>
      <c r="O128" s="444">
        <f t="shared" si="1"/>
        <v>0</v>
      </c>
      <c r="P128" s="444">
        <f t="shared" si="1"/>
        <v>-2.3255813953488413E-2</v>
      </c>
    </row>
    <row r="129" spans="2:16" x14ac:dyDescent="0.2">
      <c r="B129" s="440" t="s">
        <v>1787</v>
      </c>
      <c r="C129" s="440" t="s">
        <v>1804</v>
      </c>
      <c r="D129" s="440" t="s">
        <v>1806</v>
      </c>
      <c r="E129" s="440">
        <v>15</v>
      </c>
      <c r="F129" s="440">
        <v>0.85</v>
      </c>
      <c r="G129" s="443">
        <v>1.02</v>
      </c>
      <c r="H129" s="443">
        <v>1.64</v>
      </c>
      <c r="I129" s="443"/>
      <c r="J129" s="440">
        <v>0.92</v>
      </c>
      <c r="K129" s="440">
        <v>1.02</v>
      </c>
      <c r="L129" s="443">
        <v>1.68</v>
      </c>
      <c r="N129" s="444">
        <f t="shared" si="1"/>
        <v>-7.6086956521739246E-2</v>
      </c>
      <c r="O129" s="444">
        <f t="shared" si="1"/>
        <v>0</v>
      </c>
      <c r="P129" s="444">
        <f t="shared" si="1"/>
        <v>-2.3809523809523836E-2</v>
      </c>
    </row>
    <row r="130" spans="2:16" x14ac:dyDescent="0.2">
      <c r="B130" s="440" t="s">
        <v>1787</v>
      </c>
      <c r="C130" s="440" t="s">
        <v>1804</v>
      </c>
      <c r="D130" s="440" t="s">
        <v>1806</v>
      </c>
      <c r="E130" s="440">
        <v>16</v>
      </c>
      <c r="F130" s="440">
        <v>0.85</v>
      </c>
      <c r="G130" s="443">
        <v>1.02</v>
      </c>
      <c r="H130" s="443">
        <v>1.61</v>
      </c>
      <c r="I130" s="443"/>
      <c r="J130" s="440">
        <v>0.92</v>
      </c>
      <c r="K130" s="440">
        <v>1.02</v>
      </c>
      <c r="L130" s="443">
        <v>1.64</v>
      </c>
      <c r="N130" s="444">
        <f t="shared" si="1"/>
        <v>-7.6086956521739246E-2</v>
      </c>
      <c r="O130" s="444">
        <f t="shared" si="1"/>
        <v>0</v>
      </c>
      <c r="P130" s="444">
        <f t="shared" si="1"/>
        <v>-1.8292682926829174E-2</v>
      </c>
    </row>
    <row r="131" spans="2:16" x14ac:dyDescent="0.2">
      <c r="B131" s="440" t="s">
        <v>1787</v>
      </c>
      <c r="C131" s="440" t="s">
        <v>1804</v>
      </c>
      <c r="D131" s="440" t="s">
        <v>1806</v>
      </c>
      <c r="E131" s="440">
        <v>17</v>
      </c>
      <c r="F131" s="440">
        <v>0.85</v>
      </c>
      <c r="G131" s="443">
        <v>1.02</v>
      </c>
      <c r="H131" s="443">
        <v>1.58</v>
      </c>
      <c r="I131" s="443"/>
      <c r="J131" s="440">
        <v>0.92</v>
      </c>
      <c r="K131" s="440">
        <v>1.02</v>
      </c>
      <c r="L131" s="443">
        <v>1.61</v>
      </c>
      <c r="N131" s="444">
        <f t="shared" si="1"/>
        <v>-7.6086956521739246E-2</v>
      </c>
      <c r="O131" s="444">
        <f t="shared" si="1"/>
        <v>0</v>
      </c>
      <c r="P131" s="444">
        <f t="shared" si="1"/>
        <v>-1.8633540372670843E-2</v>
      </c>
    </row>
    <row r="132" spans="2:16" x14ac:dyDescent="0.2">
      <c r="B132" s="440" t="s">
        <v>1787</v>
      </c>
      <c r="C132" s="440" t="s">
        <v>1804</v>
      </c>
      <c r="D132" s="440" t="s">
        <v>1806</v>
      </c>
      <c r="E132" s="440">
        <v>18</v>
      </c>
      <c r="F132" s="440">
        <v>0.85</v>
      </c>
      <c r="G132" s="443">
        <v>1.02</v>
      </c>
      <c r="H132" s="443">
        <v>1.55</v>
      </c>
      <c r="I132" s="443"/>
      <c r="J132" s="440">
        <v>0.92</v>
      </c>
      <c r="K132" s="440">
        <v>1.02</v>
      </c>
      <c r="L132" s="443">
        <v>1.58</v>
      </c>
      <c r="N132" s="444">
        <f t="shared" si="1"/>
        <v>-7.6086956521739246E-2</v>
      </c>
      <c r="O132" s="444">
        <f t="shared" si="1"/>
        <v>0</v>
      </c>
      <c r="P132" s="444">
        <f t="shared" si="1"/>
        <v>-1.8987341772151889E-2</v>
      </c>
    </row>
    <row r="133" spans="2:16" x14ac:dyDescent="0.2">
      <c r="B133" s="440" t="s">
        <v>1787</v>
      </c>
      <c r="C133" s="440" t="s">
        <v>1804</v>
      </c>
      <c r="D133" s="440" t="s">
        <v>1806</v>
      </c>
      <c r="E133" s="440">
        <v>19</v>
      </c>
      <c r="F133" s="440">
        <v>0.85</v>
      </c>
      <c r="G133" s="443">
        <v>1.02</v>
      </c>
      <c r="H133" s="443">
        <v>1.52</v>
      </c>
      <c r="I133" s="443"/>
      <c r="J133" s="440">
        <v>0.92</v>
      </c>
      <c r="K133" s="440">
        <v>1.02</v>
      </c>
      <c r="L133" s="443">
        <v>1.55</v>
      </c>
      <c r="N133" s="444">
        <f t="shared" si="1"/>
        <v>-7.6086956521739246E-2</v>
      </c>
      <c r="O133" s="444">
        <f t="shared" si="1"/>
        <v>0</v>
      </c>
      <c r="P133" s="444">
        <f t="shared" si="1"/>
        <v>-1.9354838709677469E-2</v>
      </c>
    </row>
    <row r="134" spans="2:16" x14ac:dyDescent="0.2">
      <c r="B134" s="440" t="s">
        <v>1787</v>
      </c>
      <c r="C134" s="440" t="s">
        <v>1804</v>
      </c>
      <c r="D134" s="440" t="s">
        <v>1806</v>
      </c>
      <c r="E134" s="440">
        <v>20</v>
      </c>
      <c r="F134" s="440">
        <v>0.85</v>
      </c>
      <c r="G134" s="443">
        <v>1.02</v>
      </c>
      <c r="H134" s="443">
        <v>1.49</v>
      </c>
      <c r="I134" s="443"/>
      <c r="J134" s="440">
        <v>0.92</v>
      </c>
      <c r="K134" s="440">
        <v>1.02</v>
      </c>
      <c r="L134" s="443">
        <v>1.52</v>
      </c>
      <c r="N134" s="444">
        <f t="shared" si="1"/>
        <v>-7.6086956521739246E-2</v>
      </c>
      <c r="O134" s="444">
        <f t="shared" si="1"/>
        <v>0</v>
      </c>
      <c r="P134" s="444">
        <f t="shared" si="1"/>
        <v>-1.9736842105263164E-2</v>
      </c>
    </row>
    <row r="135" spans="2:16" x14ac:dyDescent="0.2">
      <c r="B135" s="440" t="s">
        <v>1787</v>
      </c>
      <c r="C135" s="440" t="s">
        <v>1804</v>
      </c>
      <c r="D135" s="440" t="s">
        <v>1806</v>
      </c>
      <c r="E135" s="440">
        <v>21</v>
      </c>
      <c r="F135" s="440">
        <v>0.85</v>
      </c>
      <c r="G135" s="443">
        <v>1.02</v>
      </c>
      <c r="H135" s="443">
        <v>1.46</v>
      </c>
      <c r="I135" s="443"/>
      <c r="J135" s="440">
        <v>0.92</v>
      </c>
      <c r="K135" s="440">
        <v>1.02</v>
      </c>
      <c r="L135" s="443">
        <v>1.49</v>
      </c>
      <c r="N135" s="444">
        <f t="shared" si="1"/>
        <v>-7.6086956521739246E-2</v>
      </c>
      <c r="O135" s="444">
        <f t="shared" si="1"/>
        <v>0</v>
      </c>
      <c r="P135" s="444">
        <f t="shared" si="1"/>
        <v>-2.0134228187919434E-2</v>
      </c>
    </row>
    <row r="136" spans="2:16" x14ac:dyDescent="0.2">
      <c r="B136" s="440" t="s">
        <v>1787</v>
      </c>
      <c r="C136" s="440" t="s">
        <v>1804</v>
      </c>
      <c r="D136" s="440" t="s">
        <v>1806</v>
      </c>
      <c r="E136" s="440">
        <v>22</v>
      </c>
      <c r="F136" s="440">
        <v>0.85</v>
      </c>
      <c r="G136" s="443">
        <v>1.02</v>
      </c>
      <c r="H136" s="443">
        <v>1.43</v>
      </c>
      <c r="I136" s="443"/>
      <c r="J136" s="440">
        <v>0.92</v>
      </c>
      <c r="K136" s="440">
        <v>1.02</v>
      </c>
      <c r="L136" s="443">
        <v>1.46</v>
      </c>
      <c r="N136" s="444">
        <f t="shared" si="1"/>
        <v>-7.6086956521739246E-2</v>
      </c>
      <c r="O136" s="444">
        <f t="shared" si="1"/>
        <v>0</v>
      </c>
      <c r="P136" s="444">
        <f t="shared" si="1"/>
        <v>-2.0547945205479423E-2</v>
      </c>
    </row>
    <row r="137" spans="2:16" x14ac:dyDescent="0.2">
      <c r="B137" s="440" t="s">
        <v>1787</v>
      </c>
      <c r="C137" s="440" t="s">
        <v>1804</v>
      </c>
      <c r="D137" s="440" t="s">
        <v>1806</v>
      </c>
      <c r="E137" s="440">
        <v>23</v>
      </c>
      <c r="F137" s="440">
        <v>0.85</v>
      </c>
      <c r="G137" s="443">
        <v>1.02</v>
      </c>
      <c r="H137" s="443">
        <v>1.4</v>
      </c>
      <c r="I137" s="443"/>
      <c r="J137" s="440">
        <v>0.92</v>
      </c>
      <c r="K137" s="440">
        <v>1.02</v>
      </c>
      <c r="L137" s="443">
        <v>1.43</v>
      </c>
      <c r="N137" s="444">
        <f t="shared" si="1"/>
        <v>-7.6086956521739246E-2</v>
      </c>
      <c r="O137" s="444">
        <f t="shared" si="1"/>
        <v>0</v>
      </c>
      <c r="P137" s="444">
        <f t="shared" si="1"/>
        <v>-2.0979020979021046E-2</v>
      </c>
    </row>
    <row r="138" spans="2:16" x14ac:dyDescent="0.2">
      <c r="B138" s="440" t="s">
        <v>1787</v>
      </c>
      <c r="C138" s="440" t="s">
        <v>1804</v>
      </c>
      <c r="D138" s="440" t="s">
        <v>1806</v>
      </c>
      <c r="E138" s="440">
        <v>24</v>
      </c>
      <c r="F138" s="440">
        <v>0.85</v>
      </c>
      <c r="G138" s="443">
        <v>1.02</v>
      </c>
      <c r="H138" s="443">
        <v>1.38</v>
      </c>
      <c r="I138" s="443"/>
      <c r="J138" s="440">
        <v>0.92</v>
      </c>
      <c r="K138" s="440">
        <v>1.02</v>
      </c>
      <c r="L138" s="443">
        <v>1.4</v>
      </c>
      <c r="N138" s="444">
        <f t="shared" si="1"/>
        <v>-7.6086956521739246E-2</v>
      </c>
      <c r="O138" s="444">
        <f t="shared" si="1"/>
        <v>0</v>
      </c>
      <c r="P138" s="444">
        <f t="shared" si="1"/>
        <v>-1.4285714285714346E-2</v>
      </c>
    </row>
    <row r="139" spans="2:16" x14ac:dyDescent="0.2">
      <c r="B139" s="440" t="s">
        <v>1787</v>
      </c>
      <c r="C139" s="440" t="s">
        <v>1804</v>
      </c>
      <c r="D139" s="440" t="s">
        <v>1806</v>
      </c>
      <c r="E139" s="440">
        <v>25</v>
      </c>
      <c r="F139" s="440">
        <v>0.85</v>
      </c>
      <c r="G139" s="443">
        <v>1.02</v>
      </c>
      <c r="H139" s="443">
        <v>1.36</v>
      </c>
      <c r="I139" s="443"/>
      <c r="J139" s="440">
        <v>0.92</v>
      </c>
      <c r="K139" s="440">
        <v>1.02</v>
      </c>
      <c r="L139" s="443">
        <v>1.38</v>
      </c>
      <c r="N139" s="444">
        <f t="shared" si="1"/>
        <v>-7.6086956521739246E-2</v>
      </c>
      <c r="O139" s="444">
        <f t="shared" si="1"/>
        <v>0</v>
      </c>
      <c r="P139" s="444">
        <f t="shared" si="1"/>
        <v>-1.4492753623188248E-2</v>
      </c>
    </row>
    <row r="140" spans="2:16" x14ac:dyDescent="0.2">
      <c r="B140" s="440" t="s">
        <v>1787</v>
      </c>
      <c r="C140" s="440" t="s">
        <v>1804</v>
      </c>
      <c r="D140" s="440" t="s">
        <v>1806</v>
      </c>
      <c r="E140" s="440">
        <v>26</v>
      </c>
      <c r="F140" s="440">
        <v>0.85</v>
      </c>
      <c r="G140" s="443">
        <v>1.02</v>
      </c>
      <c r="H140" s="443">
        <v>1.34</v>
      </c>
      <c r="I140" s="443"/>
      <c r="J140" s="440">
        <v>0.92</v>
      </c>
      <c r="K140" s="440">
        <v>1.02</v>
      </c>
      <c r="L140" s="443">
        <v>1.36</v>
      </c>
      <c r="N140" s="444">
        <f t="shared" si="1"/>
        <v>-7.6086956521739246E-2</v>
      </c>
      <c r="O140" s="444">
        <f t="shared" si="1"/>
        <v>0</v>
      </c>
      <c r="P140" s="444">
        <f t="shared" si="1"/>
        <v>-1.4705882352941235E-2</v>
      </c>
    </row>
    <row r="141" spans="2:16" x14ac:dyDescent="0.2">
      <c r="B141" s="440" t="s">
        <v>1787</v>
      </c>
      <c r="C141" s="440" t="s">
        <v>1804</v>
      </c>
      <c r="D141" s="440" t="s">
        <v>1806</v>
      </c>
      <c r="E141" s="440">
        <v>27</v>
      </c>
      <c r="F141" s="440">
        <v>0.85</v>
      </c>
      <c r="G141" s="443">
        <v>1.02</v>
      </c>
      <c r="H141" s="443">
        <v>1.32</v>
      </c>
      <c r="I141" s="443"/>
      <c r="J141" s="440">
        <v>0.92</v>
      </c>
      <c r="K141" s="440">
        <v>1.02</v>
      </c>
      <c r="L141" s="443">
        <v>1.34</v>
      </c>
      <c r="N141" s="444">
        <f t="shared" ref="N141:P204" si="2">F141/J141-1</f>
        <v>-7.6086956521739246E-2</v>
      </c>
      <c r="O141" s="444">
        <f t="shared" si="2"/>
        <v>0</v>
      </c>
      <c r="P141" s="444">
        <f t="shared" si="2"/>
        <v>-1.4925373134328401E-2</v>
      </c>
    </row>
    <row r="142" spans="2:16" x14ac:dyDescent="0.2">
      <c r="B142" s="440" t="s">
        <v>1787</v>
      </c>
      <c r="C142" s="440" t="s">
        <v>1804</v>
      </c>
      <c r="D142" s="440" t="s">
        <v>1806</v>
      </c>
      <c r="E142" s="440">
        <v>28</v>
      </c>
      <c r="F142" s="440">
        <v>0.85</v>
      </c>
      <c r="G142" s="443">
        <v>1.02</v>
      </c>
      <c r="H142" s="443">
        <v>1.3</v>
      </c>
      <c r="I142" s="443"/>
      <c r="J142" s="440">
        <v>0.92</v>
      </c>
      <c r="K142" s="440">
        <v>1.02</v>
      </c>
      <c r="L142" s="443">
        <v>1.32</v>
      </c>
      <c r="N142" s="444">
        <f t="shared" si="2"/>
        <v>-7.6086956521739246E-2</v>
      </c>
      <c r="O142" s="444">
        <f t="shared" si="2"/>
        <v>0</v>
      </c>
      <c r="P142" s="444">
        <f t="shared" si="2"/>
        <v>-1.5151515151515138E-2</v>
      </c>
    </row>
    <row r="143" spans="2:16" x14ac:dyDescent="0.2">
      <c r="B143" s="440" t="s">
        <v>1787</v>
      </c>
      <c r="C143" s="440" t="s">
        <v>1804</v>
      </c>
      <c r="D143" s="440" t="s">
        <v>1806</v>
      </c>
      <c r="E143" s="440">
        <v>29</v>
      </c>
      <c r="F143" s="440">
        <v>0.85</v>
      </c>
      <c r="G143" s="443">
        <v>1.02</v>
      </c>
      <c r="H143" s="443">
        <v>1.28</v>
      </c>
      <c r="I143" s="443"/>
      <c r="J143" s="440">
        <v>0.92</v>
      </c>
      <c r="K143" s="440">
        <v>1.02</v>
      </c>
      <c r="L143" s="443">
        <v>1.3</v>
      </c>
      <c r="N143" s="444">
        <f t="shared" si="2"/>
        <v>-7.6086956521739246E-2</v>
      </c>
      <c r="O143" s="444">
        <f t="shared" si="2"/>
        <v>0</v>
      </c>
      <c r="P143" s="444">
        <f t="shared" si="2"/>
        <v>-1.5384615384615441E-2</v>
      </c>
    </row>
    <row r="144" spans="2:16" x14ac:dyDescent="0.2">
      <c r="B144" s="440" t="s">
        <v>1787</v>
      </c>
      <c r="C144" s="440" t="s">
        <v>1804</v>
      </c>
      <c r="D144" s="440" t="s">
        <v>1806</v>
      </c>
      <c r="E144" s="440">
        <v>30</v>
      </c>
      <c r="F144" s="440">
        <v>0.85</v>
      </c>
      <c r="G144" s="443">
        <v>1.02</v>
      </c>
      <c r="H144" s="443">
        <v>1.27</v>
      </c>
      <c r="I144" s="443"/>
      <c r="J144" s="440">
        <v>0.92</v>
      </c>
      <c r="K144" s="440">
        <v>1.02</v>
      </c>
      <c r="L144" s="443">
        <v>1.28</v>
      </c>
      <c r="N144" s="444">
        <f t="shared" si="2"/>
        <v>-7.6086956521739246E-2</v>
      </c>
      <c r="O144" s="444">
        <f t="shared" si="2"/>
        <v>0</v>
      </c>
      <c r="P144" s="444">
        <f t="shared" si="2"/>
        <v>-7.8125E-3</v>
      </c>
    </row>
    <row r="145" spans="2:16" x14ac:dyDescent="0.2">
      <c r="B145" s="440" t="s">
        <v>1787</v>
      </c>
      <c r="C145" s="440" t="s">
        <v>1804</v>
      </c>
      <c r="D145" s="440" t="s">
        <v>1806</v>
      </c>
      <c r="E145" s="440">
        <v>31</v>
      </c>
      <c r="F145" s="440">
        <v>0.85</v>
      </c>
      <c r="G145" s="443">
        <v>1.02</v>
      </c>
      <c r="H145" s="443">
        <v>1.26</v>
      </c>
      <c r="I145" s="443"/>
      <c r="J145" s="440">
        <v>0.92</v>
      </c>
      <c r="K145" s="440">
        <v>1.02</v>
      </c>
      <c r="L145" s="443">
        <v>1.27</v>
      </c>
      <c r="N145" s="444">
        <f t="shared" si="2"/>
        <v>-7.6086956521739246E-2</v>
      </c>
      <c r="O145" s="444">
        <f t="shared" si="2"/>
        <v>0</v>
      </c>
      <c r="P145" s="444">
        <f t="shared" si="2"/>
        <v>-7.8740157480314821E-3</v>
      </c>
    </row>
    <row r="146" spans="2:16" x14ac:dyDescent="0.2">
      <c r="B146" s="440" t="s">
        <v>1787</v>
      </c>
      <c r="C146" s="440" t="s">
        <v>1804</v>
      </c>
      <c r="D146" s="440" t="s">
        <v>1806</v>
      </c>
      <c r="E146" s="440">
        <v>32</v>
      </c>
      <c r="F146" s="440">
        <v>0.85</v>
      </c>
      <c r="G146" s="443">
        <v>1.02</v>
      </c>
      <c r="H146" s="443">
        <v>1.25</v>
      </c>
      <c r="I146" s="443"/>
      <c r="J146" s="440">
        <v>0.92</v>
      </c>
      <c r="K146" s="440">
        <v>1.02</v>
      </c>
      <c r="L146" s="443">
        <v>1.26</v>
      </c>
      <c r="N146" s="444">
        <f t="shared" si="2"/>
        <v>-7.6086956521739246E-2</v>
      </c>
      <c r="O146" s="444">
        <f t="shared" si="2"/>
        <v>0</v>
      </c>
      <c r="P146" s="444">
        <f t="shared" si="2"/>
        <v>-7.9365079365079083E-3</v>
      </c>
    </row>
    <row r="147" spans="2:16" x14ac:dyDescent="0.2">
      <c r="B147" s="440" t="s">
        <v>1787</v>
      </c>
      <c r="C147" s="440" t="s">
        <v>1804</v>
      </c>
      <c r="D147" s="440" t="s">
        <v>1806</v>
      </c>
      <c r="E147" s="440">
        <v>33</v>
      </c>
      <c r="F147" s="440">
        <v>0.85</v>
      </c>
      <c r="G147" s="443">
        <v>1.02</v>
      </c>
      <c r="H147" s="443">
        <v>1.24</v>
      </c>
      <c r="I147" s="443"/>
      <c r="J147" s="440">
        <v>0.92</v>
      </c>
      <c r="K147" s="440">
        <v>1.02</v>
      </c>
      <c r="L147" s="443">
        <v>1.25</v>
      </c>
      <c r="N147" s="444">
        <f t="shared" si="2"/>
        <v>-7.6086956521739246E-2</v>
      </c>
      <c r="O147" s="444">
        <f t="shared" si="2"/>
        <v>0</v>
      </c>
      <c r="P147" s="444">
        <f t="shared" si="2"/>
        <v>-8.0000000000000071E-3</v>
      </c>
    </row>
    <row r="148" spans="2:16" x14ac:dyDescent="0.2">
      <c r="B148" s="440" t="s">
        <v>1787</v>
      </c>
      <c r="C148" s="440" t="s">
        <v>1804</v>
      </c>
      <c r="D148" s="440" t="s">
        <v>1806</v>
      </c>
      <c r="E148" s="440">
        <v>34</v>
      </c>
      <c r="F148" s="440">
        <v>0.85</v>
      </c>
      <c r="G148" s="443">
        <v>1.02</v>
      </c>
      <c r="H148" s="443">
        <v>1.23</v>
      </c>
      <c r="I148" s="443"/>
      <c r="J148" s="440">
        <v>0.92</v>
      </c>
      <c r="K148" s="440">
        <v>1.02</v>
      </c>
      <c r="L148" s="443">
        <v>1.24</v>
      </c>
      <c r="N148" s="444">
        <f t="shared" si="2"/>
        <v>-7.6086956521739246E-2</v>
      </c>
      <c r="O148" s="444">
        <f t="shared" si="2"/>
        <v>0</v>
      </c>
      <c r="P148" s="444">
        <f t="shared" si="2"/>
        <v>-8.0645161290322509E-3</v>
      </c>
    </row>
    <row r="149" spans="2:16" x14ac:dyDescent="0.2">
      <c r="B149" s="440" t="s">
        <v>1787</v>
      </c>
      <c r="C149" s="440" t="s">
        <v>1804</v>
      </c>
      <c r="D149" s="440" t="s">
        <v>1806</v>
      </c>
      <c r="E149" s="440">
        <v>35</v>
      </c>
      <c r="F149" s="440">
        <v>0.85</v>
      </c>
      <c r="G149" s="443">
        <v>1.02</v>
      </c>
      <c r="H149" s="443">
        <v>1.22</v>
      </c>
      <c r="I149" s="443"/>
      <c r="J149" s="440">
        <v>0.92</v>
      </c>
      <c r="K149" s="440">
        <v>1.02</v>
      </c>
      <c r="L149" s="443">
        <v>1.23</v>
      </c>
      <c r="N149" s="444">
        <f t="shared" si="2"/>
        <v>-7.6086956521739246E-2</v>
      </c>
      <c r="O149" s="444">
        <f t="shared" si="2"/>
        <v>0</v>
      </c>
      <c r="P149" s="444">
        <f t="shared" si="2"/>
        <v>-8.1300813008130524E-3</v>
      </c>
    </row>
    <row r="150" spans="2:16" x14ac:dyDescent="0.2">
      <c r="B150" s="440" t="s">
        <v>1787</v>
      </c>
      <c r="C150" s="440" t="s">
        <v>1804</v>
      </c>
      <c r="D150" s="440" t="s">
        <v>1806</v>
      </c>
      <c r="E150" s="440">
        <v>36</v>
      </c>
      <c r="F150" s="440">
        <v>0.85</v>
      </c>
      <c r="G150" s="443">
        <v>1.02</v>
      </c>
      <c r="H150" s="443">
        <v>1.21</v>
      </c>
      <c r="I150" s="443"/>
      <c r="J150" s="440">
        <v>0.92</v>
      </c>
      <c r="K150" s="440">
        <v>1.02</v>
      </c>
      <c r="L150" s="443">
        <v>1.22</v>
      </c>
      <c r="N150" s="444">
        <f t="shared" si="2"/>
        <v>-7.6086956521739246E-2</v>
      </c>
      <c r="O150" s="444">
        <f t="shared" si="2"/>
        <v>0</v>
      </c>
      <c r="P150" s="444">
        <f t="shared" si="2"/>
        <v>-8.1967213114754189E-3</v>
      </c>
    </row>
    <row r="151" spans="2:16" x14ac:dyDescent="0.2">
      <c r="B151" s="440" t="s">
        <v>1787</v>
      </c>
      <c r="C151" s="440" t="s">
        <v>1804</v>
      </c>
      <c r="D151" s="440" t="s">
        <v>1806</v>
      </c>
      <c r="E151" s="440">
        <v>37</v>
      </c>
      <c r="F151" s="440">
        <v>0.85</v>
      </c>
      <c r="G151" s="443">
        <v>1.02</v>
      </c>
      <c r="H151" s="443">
        <v>1.2</v>
      </c>
      <c r="I151" s="443"/>
      <c r="J151" s="440">
        <v>0.92</v>
      </c>
      <c r="K151" s="440">
        <v>1.02</v>
      </c>
      <c r="L151" s="443">
        <v>1.21</v>
      </c>
      <c r="N151" s="444">
        <f t="shared" si="2"/>
        <v>-7.6086956521739246E-2</v>
      </c>
      <c r="O151" s="444">
        <f t="shared" si="2"/>
        <v>0</v>
      </c>
      <c r="P151" s="444">
        <f t="shared" si="2"/>
        <v>-8.2644628099173278E-3</v>
      </c>
    </row>
    <row r="152" spans="2:16" x14ac:dyDescent="0.2">
      <c r="B152" s="440" t="s">
        <v>1787</v>
      </c>
      <c r="C152" s="440" t="s">
        <v>1804</v>
      </c>
      <c r="D152" s="440" t="s">
        <v>1806</v>
      </c>
      <c r="E152" s="440">
        <v>38</v>
      </c>
      <c r="F152" s="440">
        <v>0.85</v>
      </c>
      <c r="G152" s="443">
        <v>1.02</v>
      </c>
      <c r="H152" s="443">
        <v>1.19</v>
      </c>
      <c r="I152" s="443"/>
      <c r="J152" s="440">
        <v>0.92</v>
      </c>
      <c r="K152" s="440">
        <v>1.02</v>
      </c>
      <c r="L152" s="443">
        <v>1.2</v>
      </c>
      <c r="N152" s="444">
        <f t="shared" si="2"/>
        <v>-7.6086956521739246E-2</v>
      </c>
      <c r="O152" s="444">
        <f t="shared" si="2"/>
        <v>0</v>
      </c>
      <c r="P152" s="444">
        <f t="shared" si="2"/>
        <v>-8.3333333333333037E-3</v>
      </c>
    </row>
    <row r="153" spans="2:16" x14ac:dyDescent="0.2">
      <c r="B153" s="440" t="s">
        <v>1787</v>
      </c>
      <c r="C153" s="440" t="s">
        <v>1804</v>
      </c>
      <c r="D153" s="440" t="s">
        <v>1806</v>
      </c>
      <c r="E153" s="440">
        <v>39</v>
      </c>
      <c r="F153" s="440">
        <v>0.85</v>
      </c>
      <c r="G153" s="443">
        <v>1.02</v>
      </c>
      <c r="H153" s="443">
        <v>1.18</v>
      </c>
      <c r="I153" s="443"/>
      <c r="J153" s="440">
        <v>0.92</v>
      </c>
      <c r="K153" s="440">
        <v>1.02</v>
      </c>
      <c r="L153" s="443">
        <v>1.19</v>
      </c>
      <c r="N153" s="444">
        <f t="shared" si="2"/>
        <v>-7.6086956521739246E-2</v>
      </c>
      <c r="O153" s="444">
        <f t="shared" si="2"/>
        <v>0</v>
      </c>
      <c r="P153" s="444">
        <f t="shared" si="2"/>
        <v>-8.4033613445377853E-3</v>
      </c>
    </row>
    <row r="154" spans="2:16" x14ac:dyDescent="0.2">
      <c r="B154" s="440" t="s">
        <v>1787</v>
      </c>
      <c r="C154" s="440" t="s">
        <v>1804</v>
      </c>
      <c r="D154" s="440" t="s">
        <v>1806</v>
      </c>
      <c r="E154" s="440">
        <v>40</v>
      </c>
      <c r="F154" s="440">
        <v>0.85</v>
      </c>
      <c r="G154" s="443">
        <v>1.02</v>
      </c>
      <c r="H154" s="443">
        <v>1.17</v>
      </c>
      <c r="I154" s="443"/>
      <c r="J154" s="440">
        <v>0.92</v>
      </c>
      <c r="K154" s="440">
        <v>1.02</v>
      </c>
      <c r="L154" s="443">
        <v>1.18</v>
      </c>
      <c r="N154" s="444">
        <f t="shared" si="2"/>
        <v>-7.6086956521739246E-2</v>
      </c>
      <c r="O154" s="444">
        <f t="shared" si="2"/>
        <v>0</v>
      </c>
      <c r="P154" s="444">
        <f t="shared" si="2"/>
        <v>-8.4745762711864181E-3</v>
      </c>
    </row>
    <row r="155" spans="2:16" x14ac:dyDescent="0.2">
      <c r="B155" s="440" t="s">
        <v>1787</v>
      </c>
      <c r="C155" s="440" t="s">
        <v>1804</v>
      </c>
      <c r="D155" s="440" t="s">
        <v>1806</v>
      </c>
      <c r="E155" s="440">
        <v>41</v>
      </c>
      <c r="F155" s="440">
        <v>0.85</v>
      </c>
      <c r="G155" s="443">
        <v>1.02</v>
      </c>
      <c r="H155" s="443">
        <v>1.1599999999999999</v>
      </c>
      <c r="I155" s="443"/>
      <c r="J155" s="440">
        <v>0.92</v>
      </c>
      <c r="K155" s="440">
        <v>1.02</v>
      </c>
      <c r="L155" s="443">
        <v>1.17</v>
      </c>
      <c r="N155" s="444">
        <f t="shared" si="2"/>
        <v>-7.6086956521739246E-2</v>
      </c>
      <c r="O155" s="444">
        <f t="shared" si="2"/>
        <v>0</v>
      </c>
      <c r="P155" s="444">
        <f t="shared" si="2"/>
        <v>-8.5470085470085166E-3</v>
      </c>
    </row>
    <row r="156" spans="2:16" x14ac:dyDescent="0.2">
      <c r="B156" s="440" t="s">
        <v>1787</v>
      </c>
      <c r="C156" s="440" t="s">
        <v>1804</v>
      </c>
      <c r="D156" s="440" t="s">
        <v>1806</v>
      </c>
      <c r="E156" s="440">
        <v>42</v>
      </c>
      <c r="F156" s="440">
        <v>0.85</v>
      </c>
      <c r="G156" s="443">
        <v>1.02</v>
      </c>
      <c r="H156" s="443">
        <v>1.1499999999999999</v>
      </c>
      <c r="I156" s="443"/>
      <c r="J156" s="440">
        <v>0.92</v>
      </c>
      <c r="K156" s="440">
        <v>1.02</v>
      </c>
      <c r="L156" s="443">
        <v>1.1599999999999999</v>
      </c>
      <c r="N156" s="444">
        <f t="shared" si="2"/>
        <v>-7.6086956521739246E-2</v>
      </c>
      <c r="O156" s="444">
        <f t="shared" si="2"/>
        <v>0</v>
      </c>
      <c r="P156" s="444">
        <f t="shared" si="2"/>
        <v>-8.6206896551723755E-3</v>
      </c>
    </row>
    <row r="157" spans="2:16" x14ac:dyDescent="0.2">
      <c r="B157" s="440" t="s">
        <v>1787</v>
      </c>
      <c r="C157" s="440" t="s">
        <v>1804</v>
      </c>
      <c r="D157" s="440" t="s">
        <v>1806</v>
      </c>
      <c r="E157" s="440">
        <v>43</v>
      </c>
      <c r="F157" s="440">
        <v>0.85</v>
      </c>
      <c r="G157" s="443">
        <v>1.02</v>
      </c>
      <c r="H157" s="443">
        <v>1.1399999999999999</v>
      </c>
      <c r="I157" s="443"/>
      <c r="J157" s="440">
        <v>0.92</v>
      </c>
      <c r="K157" s="440">
        <v>1.02</v>
      </c>
      <c r="L157" s="443">
        <v>1.1499999999999999</v>
      </c>
      <c r="N157" s="444">
        <f t="shared" si="2"/>
        <v>-7.6086956521739246E-2</v>
      </c>
      <c r="O157" s="444">
        <f t="shared" si="2"/>
        <v>0</v>
      </c>
      <c r="P157" s="444">
        <f t="shared" si="2"/>
        <v>-8.6956521739131043E-3</v>
      </c>
    </row>
    <row r="158" spans="2:16" x14ac:dyDescent="0.2">
      <c r="B158" s="440" t="s">
        <v>1787</v>
      </c>
      <c r="C158" s="440" t="s">
        <v>1804</v>
      </c>
      <c r="D158" s="440" t="s">
        <v>1806</v>
      </c>
      <c r="E158" s="440">
        <v>44</v>
      </c>
      <c r="F158" s="440">
        <v>0.85</v>
      </c>
      <c r="G158" s="443">
        <v>1.02</v>
      </c>
      <c r="H158" s="443">
        <v>1.1299999999999999</v>
      </c>
      <c r="I158" s="443"/>
      <c r="J158" s="440">
        <v>0.92</v>
      </c>
      <c r="K158" s="440">
        <v>1.02</v>
      </c>
      <c r="L158" s="443">
        <v>1.1399999999999999</v>
      </c>
      <c r="N158" s="444">
        <f t="shared" si="2"/>
        <v>-7.6086956521739246E-2</v>
      </c>
      <c r="O158" s="444">
        <f t="shared" si="2"/>
        <v>0</v>
      </c>
      <c r="P158" s="444">
        <f t="shared" si="2"/>
        <v>-8.7719298245614308E-3</v>
      </c>
    </row>
    <row r="159" spans="2:16" x14ac:dyDescent="0.2">
      <c r="B159" s="440" t="s">
        <v>1787</v>
      </c>
      <c r="C159" s="440" t="s">
        <v>1804</v>
      </c>
      <c r="D159" s="440" t="s">
        <v>1806</v>
      </c>
      <c r="E159" s="440">
        <v>45</v>
      </c>
      <c r="F159" s="440">
        <v>0.85</v>
      </c>
      <c r="G159" s="443">
        <v>1.02</v>
      </c>
      <c r="H159" s="443">
        <v>1.1200000000000001</v>
      </c>
      <c r="I159" s="443"/>
      <c r="J159" s="440">
        <v>0.92</v>
      </c>
      <c r="K159" s="440">
        <v>1.02</v>
      </c>
      <c r="L159" s="443">
        <v>1.1299999999999999</v>
      </c>
      <c r="N159" s="444">
        <f t="shared" si="2"/>
        <v>-7.6086956521739246E-2</v>
      </c>
      <c r="O159" s="444">
        <f t="shared" si="2"/>
        <v>0</v>
      </c>
      <c r="P159" s="444">
        <f t="shared" si="2"/>
        <v>-8.8495575221236855E-3</v>
      </c>
    </row>
    <row r="160" spans="2:16" x14ac:dyDescent="0.2">
      <c r="B160" s="440" t="s">
        <v>1787</v>
      </c>
      <c r="C160" s="440" t="s">
        <v>1804</v>
      </c>
      <c r="D160" s="440" t="s">
        <v>1806</v>
      </c>
      <c r="E160" s="440">
        <v>46</v>
      </c>
      <c r="F160" s="440">
        <v>0.85</v>
      </c>
      <c r="G160" s="443">
        <v>1.02</v>
      </c>
      <c r="H160" s="443">
        <v>1.1100000000000001</v>
      </c>
      <c r="I160" s="443"/>
      <c r="J160" s="440">
        <v>0.92</v>
      </c>
      <c r="K160" s="440">
        <v>1.02</v>
      </c>
      <c r="L160" s="443">
        <v>1.1200000000000001</v>
      </c>
      <c r="N160" s="444">
        <f t="shared" si="2"/>
        <v>-7.6086956521739246E-2</v>
      </c>
      <c r="O160" s="444">
        <f t="shared" si="2"/>
        <v>0</v>
      </c>
      <c r="P160" s="444">
        <f t="shared" si="2"/>
        <v>-8.9285714285713969E-3</v>
      </c>
    </row>
    <row r="161" spans="2:16" x14ac:dyDescent="0.2">
      <c r="B161" s="440" t="s">
        <v>1787</v>
      </c>
      <c r="C161" s="440" t="s">
        <v>1804</v>
      </c>
      <c r="D161" s="440" t="s">
        <v>1806</v>
      </c>
      <c r="E161" s="440">
        <v>47</v>
      </c>
      <c r="F161" s="440">
        <v>0.85</v>
      </c>
      <c r="G161" s="443">
        <v>1.02</v>
      </c>
      <c r="H161" s="443">
        <v>1.1000000000000001</v>
      </c>
      <c r="I161" s="443"/>
      <c r="J161" s="440">
        <v>0.92</v>
      </c>
      <c r="K161" s="440">
        <v>1.02</v>
      </c>
      <c r="L161" s="443">
        <v>1.1100000000000001</v>
      </c>
      <c r="N161" s="444">
        <f t="shared" si="2"/>
        <v>-7.6086956521739246E-2</v>
      </c>
      <c r="O161" s="444">
        <f t="shared" si="2"/>
        <v>0</v>
      </c>
      <c r="P161" s="444">
        <f t="shared" si="2"/>
        <v>-9.009009009009028E-3</v>
      </c>
    </row>
    <row r="162" spans="2:16" x14ac:dyDescent="0.2">
      <c r="B162" s="440" t="s">
        <v>1787</v>
      </c>
      <c r="C162" s="440" t="s">
        <v>1804</v>
      </c>
      <c r="D162" s="440" t="s">
        <v>1806</v>
      </c>
      <c r="E162" s="440">
        <v>48</v>
      </c>
      <c r="F162" s="440">
        <v>0.85</v>
      </c>
      <c r="G162" s="443">
        <v>1.02</v>
      </c>
      <c r="H162" s="443">
        <v>1.0900000000000001</v>
      </c>
      <c r="I162" s="443"/>
      <c r="J162" s="440">
        <v>0.92</v>
      </c>
      <c r="K162" s="440">
        <v>1.02</v>
      </c>
      <c r="L162" s="443">
        <v>1.1000000000000001</v>
      </c>
      <c r="N162" s="444">
        <f t="shared" si="2"/>
        <v>-7.6086956521739246E-2</v>
      </c>
      <c r="O162" s="444">
        <f t="shared" si="2"/>
        <v>0</v>
      </c>
      <c r="P162" s="444">
        <f t="shared" si="2"/>
        <v>-9.0909090909091494E-3</v>
      </c>
    </row>
    <row r="163" spans="2:16" x14ac:dyDescent="0.2">
      <c r="B163" s="440" t="s">
        <v>1787</v>
      </c>
      <c r="C163" s="440" t="s">
        <v>1804</v>
      </c>
      <c r="D163" s="440" t="s">
        <v>1806</v>
      </c>
      <c r="E163" s="440">
        <v>49</v>
      </c>
      <c r="F163" s="440">
        <v>0.85</v>
      </c>
      <c r="G163" s="443">
        <v>1.02</v>
      </c>
      <c r="H163" s="443">
        <v>1.0900000000000001</v>
      </c>
      <c r="I163" s="443"/>
      <c r="J163" s="440">
        <v>0.92</v>
      </c>
      <c r="K163" s="440">
        <v>1.02</v>
      </c>
      <c r="L163" s="443">
        <v>1.1000000000000001</v>
      </c>
      <c r="N163" s="444">
        <f t="shared" si="2"/>
        <v>-7.6086956521739246E-2</v>
      </c>
      <c r="O163" s="444">
        <f t="shared" si="2"/>
        <v>0</v>
      </c>
      <c r="P163" s="444">
        <f t="shared" si="2"/>
        <v>-9.0909090909091494E-3</v>
      </c>
    </row>
    <row r="164" spans="2:16" x14ac:dyDescent="0.2">
      <c r="B164" s="440" t="s">
        <v>1787</v>
      </c>
      <c r="C164" s="440" t="s">
        <v>1804</v>
      </c>
      <c r="D164" s="440" t="s">
        <v>1806</v>
      </c>
      <c r="E164" s="440">
        <v>50</v>
      </c>
      <c r="F164" s="440">
        <v>0.85</v>
      </c>
      <c r="G164" s="443">
        <v>1.02</v>
      </c>
      <c r="H164" s="443">
        <v>1.08</v>
      </c>
      <c r="I164" s="443"/>
      <c r="J164" s="440">
        <v>0.92</v>
      </c>
      <c r="K164" s="440">
        <v>1.02</v>
      </c>
      <c r="L164" s="443">
        <v>1.0900000000000001</v>
      </c>
      <c r="N164" s="444">
        <f t="shared" si="2"/>
        <v>-7.6086956521739246E-2</v>
      </c>
      <c r="O164" s="444">
        <f t="shared" si="2"/>
        <v>0</v>
      </c>
      <c r="P164" s="444">
        <f t="shared" si="2"/>
        <v>-9.1743119266055606E-3</v>
      </c>
    </row>
    <row r="165" spans="2:16" x14ac:dyDescent="0.2">
      <c r="B165" s="440" t="s">
        <v>1787</v>
      </c>
      <c r="C165" s="440" t="s">
        <v>1804</v>
      </c>
      <c r="D165" s="440" t="s">
        <v>1806</v>
      </c>
      <c r="E165" s="440">
        <v>51</v>
      </c>
      <c r="F165" s="440">
        <v>0.85</v>
      </c>
      <c r="G165" s="443">
        <v>1.02</v>
      </c>
      <c r="H165" s="443">
        <v>1.08</v>
      </c>
      <c r="I165" s="443"/>
      <c r="J165" s="440">
        <v>0.92</v>
      </c>
      <c r="K165" s="440">
        <v>1.02</v>
      </c>
      <c r="L165" s="443">
        <v>1.0900000000000001</v>
      </c>
      <c r="N165" s="444">
        <f t="shared" si="2"/>
        <v>-7.6086956521739246E-2</v>
      </c>
      <c r="O165" s="444">
        <f t="shared" si="2"/>
        <v>0</v>
      </c>
      <c r="P165" s="444">
        <f t="shared" si="2"/>
        <v>-9.1743119266055606E-3</v>
      </c>
    </row>
    <row r="166" spans="2:16" x14ac:dyDescent="0.2">
      <c r="B166" s="440" t="s">
        <v>1787</v>
      </c>
      <c r="C166" s="440" t="s">
        <v>1804</v>
      </c>
      <c r="D166" s="440" t="s">
        <v>1806</v>
      </c>
      <c r="E166" s="440">
        <v>52</v>
      </c>
      <c r="F166" s="440">
        <v>0.85</v>
      </c>
      <c r="G166" s="443">
        <v>1.02</v>
      </c>
      <c r="H166" s="443">
        <v>1.07</v>
      </c>
      <c r="I166" s="443"/>
      <c r="J166" s="440">
        <v>0.92</v>
      </c>
      <c r="K166" s="440">
        <v>1.02</v>
      </c>
      <c r="L166" s="443">
        <v>1.08</v>
      </c>
      <c r="N166" s="444">
        <f t="shared" si="2"/>
        <v>-7.6086956521739246E-2</v>
      </c>
      <c r="O166" s="444">
        <f t="shared" si="2"/>
        <v>0</v>
      </c>
      <c r="P166" s="444">
        <f t="shared" si="2"/>
        <v>-9.2592592592593004E-3</v>
      </c>
    </row>
    <row r="167" spans="2:16" x14ac:dyDescent="0.2">
      <c r="B167" s="440" t="s">
        <v>1787</v>
      </c>
      <c r="C167" s="440" t="s">
        <v>1804</v>
      </c>
      <c r="D167" s="440" t="s">
        <v>1806</v>
      </c>
      <c r="E167" s="440">
        <v>53</v>
      </c>
      <c r="F167" s="440">
        <v>0.85</v>
      </c>
      <c r="G167" s="443">
        <v>1.02</v>
      </c>
      <c r="H167" s="443">
        <v>1.07</v>
      </c>
      <c r="I167" s="443"/>
      <c r="J167" s="440">
        <v>0.92</v>
      </c>
      <c r="K167" s="440">
        <v>1.02</v>
      </c>
      <c r="L167" s="443">
        <v>1.08</v>
      </c>
      <c r="N167" s="444">
        <f t="shared" si="2"/>
        <v>-7.6086956521739246E-2</v>
      </c>
      <c r="O167" s="444">
        <f t="shared" si="2"/>
        <v>0</v>
      </c>
      <c r="P167" s="444">
        <f t="shared" si="2"/>
        <v>-9.2592592592593004E-3</v>
      </c>
    </row>
    <row r="168" spans="2:16" x14ac:dyDescent="0.2">
      <c r="B168" s="440" t="s">
        <v>1787</v>
      </c>
      <c r="C168" s="440" t="s">
        <v>1804</v>
      </c>
      <c r="D168" s="440" t="s">
        <v>1806</v>
      </c>
      <c r="E168" s="440">
        <v>54</v>
      </c>
      <c r="F168" s="440">
        <v>0.85</v>
      </c>
      <c r="G168" s="443">
        <v>1.02</v>
      </c>
      <c r="H168" s="443">
        <v>1.06</v>
      </c>
      <c r="I168" s="443"/>
      <c r="J168" s="440">
        <v>0.92</v>
      </c>
      <c r="K168" s="440">
        <v>1.02</v>
      </c>
      <c r="L168" s="443">
        <v>1.07</v>
      </c>
      <c r="N168" s="444">
        <f t="shared" si="2"/>
        <v>-7.6086956521739246E-2</v>
      </c>
      <c r="O168" s="444">
        <f t="shared" si="2"/>
        <v>0</v>
      </c>
      <c r="P168" s="444">
        <f t="shared" si="2"/>
        <v>-9.3457943925233655E-3</v>
      </c>
    </row>
    <row r="169" spans="2:16" x14ac:dyDescent="0.2">
      <c r="B169" s="440" t="s">
        <v>1787</v>
      </c>
      <c r="C169" s="440" t="s">
        <v>1804</v>
      </c>
      <c r="D169" s="440" t="s">
        <v>1806</v>
      </c>
      <c r="E169" s="440">
        <v>55</v>
      </c>
      <c r="F169" s="440">
        <v>0.85</v>
      </c>
      <c r="G169" s="443">
        <v>1.02</v>
      </c>
      <c r="H169" s="443">
        <v>1.06</v>
      </c>
      <c r="I169" s="443"/>
      <c r="J169" s="440">
        <v>0.92</v>
      </c>
      <c r="K169" s="440">
        <v>1.02</v>
      </c>
      <c r="L169" s="443">
        <v>1.07</v>
      </c>
      <c r="N169" s="444">
        <f t="shared" si="2"/>
        <v>-7.6086956521739246E-2</v>
      </c>
      <c r="O169" s="444">
        <f t="shared" si="2"/>
        <v>0</v>
      </c>
      <c r="P169" s="444">
        <f t="shared" si="2"/>
        <v>-9.3457943925233655E-3</v>
      </c>
    </row>
    <row r="170" spans="2:16" x14ac:dyDescent="0.2">
      <c r="B170" s="440" t="s">
        <v>1787</v>
      </c>
      <c r="C170" s="440" t="s">
        <v>1804</v>
      </c>
      <c r="D170" s="440" t="s">
        <v>1806</v>
      </c>
      <c r="E170" s="440">
        <v>56</v>
      </c>
      <c r="F170" s="440">
        <v>0.85</v>
      </c>
      <c r="G170" s="443">
        <v>1.02</v>
      </c>
      <c r="H170" s="443">
        <v>1.05</v>
      </c>
      <c r="I170" s="443"/>
      <c r="J170" s="440">
        <v>0.92</v>
      </c>
      <c r="K170" s="440">
        <v>1.02</v>
      </c>
      <c r="L170" s="443">
        <v>1.06</v>
      </c>
      <c r="N170" s="444">
        <f t="shared" si="2"/>
        <v>-7.6086956521739246E-2</v>
      </c>
      <c r="O170" s="444">
        <f t="shared" si="2"/>
        <v>0</v>
      </c>
      <c r="P170" s="444">
        <f t="shared" si="2"/>
        <v>-9.4339622641509413E-3</v>
      </c>
    </row>
    <row r="171" spans="2:16" x14ac:dyDescent="0.2">
      <c r="B171" s="440" t="s">
        <v>1787</v>
      </c>
      <c r="C171" s="440" t="s">
        <v>1804</v>
      </c>
      <c r="D171" s="440" t="s">
        <v>1806</v>
      </c>
      <c r="E171" s="440">
        <v>57</v>
      </c>
      <c r="F171" s="440">
        <v>0.85</v>
      </c>
      <c r="G171" s="443">
        <v>1.02</v>
      </c>
      <c r="H171" s="443">
        <v>1.05</v>
      </c>
      <c r="I171" s="443"/>
      <c r="J171" s="440">
        <v>0.92</v>
      </c>
      <c r="K171" s="440">
        <v>1.02</v>
      </c>
      <c r="L171" s="443">
        <v>1.06</v>
      </c>
      <c r="N171" s="444">
        <f t="shared" si="2"/>
        <v>-7.6086956521739246E-2</v>
      </c>
      <c r="O171" s="444">
        <f t="shared" si="2"/>
        <v>0</v>
      </c>
      <c r="P171" s="444">
        <f t="shared" si="2"/>
        <v>-9.4339622641509413E-3</v>
      </c>
    </row>
    <row r="172" spans="2:16" x14ac:dyDescent="0.2">
      <c r="B172" s="440" t="s">
        <v>1787</v>
      </c>
      <c r="C172" s="440" t="s">
        <v>1804</v>
      </c>
      <c r="D172" s="440" t="s">
        <v>1806</v>
      </c>
      <c r="E172" s="440">
        <v>58</v>
      </c>
      <c r="F172" s="440">
        <v>0.85</v>
      </c>
      <c r="G172" s="443">
        <v>1.02</v>
      </c>
      <c r="H172" s="443">
        <v>1.05</v>
      </c>
      <c r="I172" s="443"/>
      <c r="J172" s="440">
        <v>0.92</v>
      </c>
      <c r="K172" s="440">
        <v>1.02</v>
      </c>
      <c r="L172" s="443">
        <v>1.05</v>
      </c>
      <c r="N172" s="444">
        <f t="shared" si="2"/>
        <v>-7.6086956521739246E-2</v>
      </c>
      <c r="O172" s="444">
        <f t="shared" si="2"/>
        <v>0</v>
      </c>
      <c r="P172" s="444">
        <f t="shared" si="2"/>
        <v>0</v>
      </c>
    </row>
    <row r="173" spans="2:16" x14ac:dyDescent="0.2">
      <c r="B173" s="440" t="s">
        <v>1787</v>
      </c>
      <c r="C173" s="440" t="s">
        <v>1804</v>
      </c>
      <c r="D173" s="440" t="s">
        <v>1806</v>
      </c>
      <c r="E173" s="440">
        <v>59</v>
      </c>
      <c r="F173" s="440">
        <v>0.85</v>
      </c>
      <c r="G173" s="443">
        <v>1.02</v>
      </c>
      <c r="H173" s="443">
        <v>1.04</v>
      </c>
      <c r="I173" s="443"/>
      <c r="J173" s="440">
        <v>0.92</v>
      </c>
      <c r="K173" s="440">
        <v>1.02</v>
      </c>
      <c r="L173" s="443">
        <v>1.05</v>
      </c>
      <c r="N173" s="444">
        <f t="shared" si="2"/>
        <v>-7.6086956521739246E-2</v>
      </c>
      <c r="O173" s="444">
        <f t="shared" si="2"/>
        <v>0</v>
      </c>
      <c r="P173" s="444">
        <f t="shared" si="2"/>
        <v>-9.52380952380949E-3</v>
      </c>
    </row>
    <row r="174" spans="2:16" x14ac:dyDescent="0.2">
      <c r="B174" s="440" t="s">
        <v>1787</v>
      </c>
      <c r="C174" s="440" t="s">
        <v>1804</v>
      </c>
      <c r="D174" s="440" t="s">
        <v>1806</v>
      </c>
      <c r="E174" s="440">
        <v>60</v>
      </c>
      <c r="F174" s="440">
        <v>0.85</v>
      </c>
      <c r="G174" s="443">
        <v>1.02</v>
      </c>
      <c r="H174" s="443">
        <v>1.04</v>
      </c>
      <c r="I174" s="443"/>
      <c r="J174" s="440">
        <v>0.92</v>
      </c>
      <c r="K174" s="440">
        <v>1.02</v>
      </c>
      <c r="L174" s="443">
        <v>1.05</v>
      </c>
      <c r="N174" s="444">
        <f t="shared" si="2"/>
        <v>-7.6086956521739246E-2</v>
      </c>
      <c r="O174" s="444">
        <f t="shared" si="2"/>
        <v>0</v>
      </c>
      <c r="P174" s="444">
        <f t="shared" si="2"/>
        <v>-9.52380952380949E-3</v>
      </c>
    </row>
    <row r="175" spans="2:16" x14ac:dyDescent="0.2">
      <c r="B175" s="440" t="s">
        <v>1787</v>
      </c>
      <c r="C175" s="440" t="s">
        <v>1804</v>
      </c>
      <c r="D175" s="440" t="s">
        <v>1806</v>
      </c>
      <c r="E175" s="440">
        <v>61</v>
      </c>
      <c r="F175" s="440">
        <v>0.85</v>
      </c>
      <c r="G175" s="443">
        <v>1.02</v>
      </c>
      <c r="H175" s="443">
        <v>1.04</v>
      </c>
      <c r="I175" s="443"/>
      <c r="J175" s="440">
        <v>0.92</v>
      </c>
      <c r="K175" s="440">
        <v>1.02</v>
      </c>
      <c r="L175" s="443">
        <v>1.04</v>
      </c>
      <c r="N175" s="444">
        <f t="shared" si="2"/>
        <v>-7.6086956521739246E-2</v>
      </c>
      <c r="O175" s="444">
        <f t="shared" si="2"/>
        <v>0</v>
      </c>
      <c r="P175" s="444">
        <f t="shared" si="2"/>
        <v>0</v>
      </c>
    </row>
    <row r="176" spans="2:16" x14ac:dyDescent="0.2">
      <c r="B176" s="440" t="s">
        <v>1787</v>
      </c>
      <c r="C176" s="440" t="s">
        <v>1804</v>
      </c>
      <c r="D176" s="440" t="s">
        <v>1806</v>
      </c>
      <c r="E176" s="440">
        <v>62</v>
      </c>
      <c r="F176" s="440">
        <v>0.85</v>
      </c>
      <c r="G176" s="443">
        <v>1.02</v>
      </c>
      <c r="H176" s="443">
        <v>1.03</v>
      </c>
      <c r="I176" s="443"/>
      <c r="J176" s="440">
        <v>0.92</v>
      </c>
      <c r="K176" s="440">
        <v>1.02</v>
      </c>
      <c r="L176" s="443">
        <v>1.04</v>
      </c>
      <c r="N176" s="444">
        <f t="shared" si="2"/>
        <v>-7.6086956521739246E-2</v>
      </c>
      <c r="O176" s="444">
        <f t="shared" si="2"/>
        <v>0</v>
      </c>
      <c r="P176" s="444">
        <f t="shared" si="2"/>
        <v>-9.6153846153845812E-3</v>
      </c>
    </row>
    <row r="177" spans="2:16" x14ac:dyDescent="0.2">
      <c r="B177" s="440" t="s">
        <v>1787</v>
      </c>
      <c r="C177" s="440" t="s">
        <v>1804</v>
      </c>
      <c r="D177" s="440" t="s">
        <v>1806</v>
      </c>
      <c r="E177" s="440">
        <v>63</v>
      </c>
      <c r="F177" s="440">
        <v>0.85</v>
      </c>
      <c r="G177" s="443">
        <v>1.02</v>
      </c>
      <c r="H177" s="443">
        <v>1.03</v>
      </c>
      <c r="I177" s="443"/>
      <c r="J177" s="440">
        <v>0.92</v>
      </c>
      <c r="K177" s="440">
        <v>1.02</v>
      </c>
      <c r="L177" s="443">
        <v>1.04</v>
      </c>
      <c r="N177" s="444">
        <f t="shared" si="2"/>
        <v>-7.6086956521739246E-2</v>
      </c>
      <c r="O177" s="444">
        <f t="shared" si="2"/>
        <v>0</v>
      </c>
      <c r="P177" s="444">
        <f t="shared" si="2"/>
        <v>-9.6153846153845812E-3</v>
      </c>
    </row>
    <row r="178" spans="2:16" x14ac:dyDescent="0.2">
      <c r="B178" s="440" t="s">
        <v>1787</v>
      </c>
      <c r="C178" s="440" t="s">
        <v>1804</v>
      </c>
      <c r="D178" s="440" t="s">
        <v>1806</v>
      </c>
      <c r="E178" s="440">
        <v>64</v>
      </c>
      <c r="F178" s="440">
        <v>0.85</v>
      </c>
      <c r="G178" s="443">
        <v>1.02</v>
      </c>
      <c r="H178" s="443">
        <v>1.03</v>
      </c>
      <c r="I178" s="443"/>
      <c r="J178" s="440">
        <v>0.92</v>
      </c>
      <c r="K178" s="440">
        <v>1.02</v>
      </c>
      <c r="L178" s="443">
        <v>1.03</v>
      </c>
      <c r="N178" s="444">
        <f t="shared" si="2"/>
        <v>-7.6086956521739246E-2</v>
      </c>
      <c r="O178" s="444">
        <f t="shared" si="2"/>
        <v>0</v>
      </c>
      <c r="P178" s="444">
        <f t="shared" si="2"/>
        <v>0</v>
      </c>
    </row>
    <row r="179" spans="2:16" x14ac:dyDescent="0.2">
      <c r="B179" s="440" t="s">
        <v>1787</v>
      </c>
      <c r="C179" s="440" t="s">
        <v>1804</v>
      </c>
      <c r="D179" s="440" t="s">
        <v>1806</v>
      </c>
      <c r="E179" s="440">
        <v>65</v>
      </c>
      <c r="F179" s="440">
        <v>0.85</v>
      </c>
      <c r="G179" s="443">
        <v>1.02</v>
      </c>
      <c r="H179" s="443">
        <v>1.02</v>
      </c>
      <c r="I179" s="443"/>
      <c r="J179" s="440">
        <v>0.92</v>
      </c>
      <c r="K179" s="440">
        <v>1.02</v>
      </c>
      <c r="L179" s="443">
        <v>1.03</v>
      </c>
      <c r="N179" s="444">
        <f t="shared" si="2"/>
        <v>-7.6086956521739246E-2</v>
      </c>
      <c r="O179" s="444">
        <f t="shared" si="2"/>
        <v>0</v>
      </c>
      <c r="P179" s="444">
        <f t="shared" si="2"/>
        <v>-9.7087378640776656E-3</v>
      </c>
    </row>
    <row r="180" spans="2:16" x14ac:dyDescent="0.2">
      <c r="B180" s="440" t="s">
        <v>1787</v>
      </c>
      <c r="C180" s="440" t="s">
        <v>1804</v>
      </c>
      <c r="D180" s="440" t="s">
        <v>1806</v>
      </c>
      <c r="E180" s="440">
        <v>66</v>
      </c>
      <c r="F180" s="440">
        <v>0.85</v>
      </c>
      <c r="G180" s="443">
        <v>1.02</v>
      </c>
      <c r="H180" s="443">
        <v>1.02</v>
      </c>
      <c r="I180" s="443"/>
      <c r="J180" s="440">
        <v>0.92</v>
      </c>
      <c r="K180" s="440">
        <v>1.02</v>
      </c>
      <c r="L180" s="443">
        <v>1.03</v>
      </c>
      <c r="N180" s="444">
        <f t="shared" si="2"/>
        <v>-7.6086956521739246E-2</v>
      </c>
      <c r="O180" s="444">
        <f t="shared" si="2"/>
        <v>0</v>
      </c>
      <c r="P180" s="444">
        <f t="shared" si="2"/>
        <v>-9.7087378640776656E-3</v>
      </c>
    </row>
    <row r="181" spans="2:16" x14ac:dyDescent="0.2">
      <c r="B181" s="440" t="s">
        <v>1787</v>
      </c>
      <c r="C181" s="440" t="s">
        <v>1804</v>
      </c>
      <c r="D181" s="440" t="s">
        <v>1806</v>
      </c>
      <c r="E181" s="440">
        <v>67</v>
      </c>
      <c r="F181" s="440">
        <v>0.85</v>
      </c>
      <c r="G181" s="443">
        <v>1.02</v>
      </c>
      <c r="H181" s="443">
        <v>1.02</v>
      </c>
      <c r="I181" s="443"/>
      <c r="J181" s="440">
        <v>0.92</v>
      </c>
      <c r="K181" s="440">
        <v>1.02</v>
      </c>
      <c r="L181" s="443">
        <v>1.02</v>
      </c>
      <c r="N181" s="444">
        <f t="shared" si="2"/>
        <v>-7.6086956521739246E-2</v>
      </c>
      <c r="O181" s="444">
        <f t="shared" si="2"/>
        <v>0</v>
      </c>
      <c r="P181" s="444">
        <f t="shared" si="2"/>
        <v>0</v>
      </c>
    </row>
    <row r="182" spans="2:16" x14ac:dyDescent="0.2">
      <c r="B182" s="440" t="s">
        <v>1787</v>
      </c>
      <c r="C182" s="440" t="s">
        <v>1804</v>
      </c>
      <c r="D182" s="440" t="s">
        <v>1806</v>
      </c>
      <c r="E182" s="440">
        <v>68</v>
      </c>
      <c r="F182" s="440">
        <v>0.85</v>
      </c>
      <c r="G182" s="443">
        <v>1.02</v>
      </c>
      <c r="H182" s="443">
        <v>1.02</v>
      </c>
      <c r="I182" s="443"/>
      <c r="J182" s="440">
        <v>0.92</v>
      </c>
      <c r="K182" s="440">
        <v>1.02</v>
      </c>
      <c r="L182" s="443">
        <v>1.02</v>
      </c>
      <c r="N182" s="444">
        <f t="shared" si="2"/>
        <v>-7.6086956521739246E-2</v>
      </c>
      <c r="O182" s="444">
        <f t="shared" si="2"/>
        <v>0</v>
      </c>
      <c r="P182" s="444">
        <f t="shared" si="2"/>
        <v>0</v>
      </c>
    </row>
    <row r="183" spans="2:16" x14ac:dyDescent="0.2">
      <c r="B183" s="440" t="s">
        <v>1787</v>
      </c>
      <c r="C183" s="440" t="s">
        <v>1804</v>
      </c>
      <c r="D183" s="440" t="s">
        <v>1806</v>
      </c>
      <c r="E183" s="440">
        <v>69</v>
      </c>
      <c r="F183" s="440">
        <v>0.85</v>
      </c>
      <c r="G183" s="443">
        <v>1.01</v>
      </c>
      <c r="H183" s="443">
        <v>1.01</v>
      </c>
      <c r="I183" s="443"/>
      <c r="J183" s="440">
        <v>0.92</v>
      </c>
      <c r="K183" s="440">
        <v>1.02</v>
      </c>
      <c r="L183" s="443">
        <v>1.02</v>
      </c>
      <c r="N183" s="444">
        <f t="shared" si="2"/>
        <v>-7.6086956521739246E-2</v>
      </c>
      <c r="O183" s="444">
        <f t="shared" si="2"/>
        <v>-9.8039215686274161E-3</v>
      </c>
      <c r="P183" s="444">
        <f t="shared" si="2"/>
        <v>-9.8039215686274161E-3</v>
      </c>
    </row>
    <row r="184" spans="2:16" x14ac:dyDescent="0.2">
      <c r="B184" s="440" t="s">
        <v>1787</v>
      </c>
      <c r="C184" s="440" t="s">
        <v>1804</v>
      </c>
      <c r="D184" s="440" t="s">
        <v>1806</v>
      </c>
      <c r="E184" s="440">
        <v>70</v>
      </c>
      <c r="F184" s="440">
        <v>0.85</v>
      </c>
      <c r="G184" s="443">
        <v>1.01</v>
      </c>
      <c r="H184" s="443">
        <v>1.01</v>
      </c>
      <c r="I184" s="443"/>
      <c r="J184" s="440">
        <v>0.92</v>
      </c>
      <c r="K184" s="440">
        <v>1.02</v>
      </c>
      <c r="L184" s="443">
        <v>1.01</v>
      </c>
      <c r="N184" s="444">
        <f t="shared" si="2"/>
        <v>-7.6086956521739246E-2</v>
      </c>
      <c r="O184" s="444">
        <f t="shared" si="2"/>
        <v>-9.8039215686274161E-3</v>
      </c>
      <c r="P184" s="444">
        <f t="shared" si="2"/>
        <v>0</v>
      </c>
    </row>
    <row r="185" spans="2:16" x14ac:dyDescent="0.2">
      <c r="B185" s="440" t="s">
        <v>1787</v>
      </c>
      <c r="C185" s="440" t="s">
        <v>1804</v>
      </c>
      <c r="D185" s="440" t="s">
        <v>1806</v>
      </c>
      <c r="E185" s="440">
        <v>71</v>
      </c>
      <c r="F185" s="440">
        <v>0.85</v>
      </c>
      <c r="G185" s="443">
        <v>1.01</v>
      </c>
      <c r="H185" s="443">
        <v>1.01</v>
      </c>
      <c r="I185" s="443"/>
      <c r="J185" s="440">
        <v>0.92</v>
      </c>
      <c r="K185" s="440">
        <v>1.02</v>
      </c>
      <c r="L185" s="443">
        <v>1.01</v>
      </c>
      <c r="N185" s="444">
        <f t="shared" si="2"/>
        <v>-7.6086956521739246E-2</v>
      </c>
      <c r="O185" s="444">
        <f t="shared" si="2"/>
        <v>-9.8039215686274161E-3</v>
      </c>
      <c r="P185" s="444">
        <f t="shared" si="2"/>
        <v>0</v>
      </c>
    </row>
    <row r="186" spans="2:16" x14ac:dyDescent="0.2">
      <c r="B186" s="440" t="s">
        <v>1787</v>
      </c>
      <c r="C186" s="440" t="s">
        <v>1804</v>
      </c>
      <c r="D186" s="440" t="s">
        <v>1806</v>
      </c>
      <c r="E186" s="440">
        <v>72</v>
      </c>
      <c r="F186" s="440">
        <v>0.85</v>
      </c>
      <c r="G186" s="443">
        <v>1.01</v>
      </c>
      <c r="H186" s="443">
        <v>1.01</v>
      </c>
      <c r="I186" s="443"/>
      <c r="J186" s="440">
        <v>0.92</v>
      </c>
      <c r="K186" s="440">
        <v>1.02</v>
      </c>
      <c r="L186" s="443">
        <v>1.01</v>
      </c>
      <c r="N186" s="444">
        <f t="shared" si="2"/>
        <v>-7.6086956521739246E-2</v>
      </c>
      <c r="O186" s="444">
        <f t="shared" si="2"/>
        <v>-9.8039215686274161E-3</v>
      </c>
      <c r="P186" s="444">
        <f t="shared" si="2"/>
        <v>0</v>
      </c>
    </row>
    <row r="187" spans="2:16" x14ac:dyDescent="0.2">
      <c r="B187" s="440" t="s">
        <v>1787</v>
      </c>
      <c r="C187" s="440" t="s">
        <v>1804</v>
      </c>
      <c r="D187" s="440" t="s">
        <v>1806</v>
      </c>
      <c r="E187" s="440">
        <v>73</v>
      </c>
      <c r="F187" s="440">
        <v>0.85</v>
      </c>
      <c r="G187" s="443">
        <v>1.01</v>
      </c>
      <c r="H187" s="443">
        <v>1.01</v>
      </c>
      <c r="I187" s="443"/>
      <c r="J187" s="440">
        <v>0.92</v>
      </c>
      <c r="K187" s="440">
        <v>1.02</v>
      </c>
      <c r="L187" s="443">
        <v>1.01</v>
      </c>
      <c r="N187" s="444">
        <f t="shared" si="2"/>
        <v>-7.6086956521739246E-2</v>
      </c>
      <c r="O187" s="444">
        <f t="shared" si="2"/>
        <v>-9.8039215686274161E-3</v>
      </c>
      <c r="P187" s="444">
        <f t="shared" si="2"/>
        <v>0</v>
      </c>
    </row>
    <row r="188" spans="2:16" x14ac:dyDescent="0.2">
      <c r="B188" s="440" t="s">
        <v>1787</v>
      </c>
      <c r="C188" s="440" t="s">
        <v>1804</v>
      </c>
      <c r="D188" s="440" t="s">
        <v>1806</v>
      </c>
      <c r="E188" s="440">
        <v>74</v>
      </c>
      <c r="F188" s="440">
        <v>0.85</v>
      </c>
      <c r="G188" s="443">
        <v>1</v>
      </c>
      <c r="H188" s="443">
        <v>1</v>
      </c>
      <c r="I188" s="443"/>
      <c r="J188" s="440">
        <v>0.92</v>
      </c>
      <c r="K188" s="440">
        <v>1.02</v>
      </c>
      <c r="L188" s="443">
        <v>1.01</v>
      </c>
      <c r="N188" s="444">
        <f t="shared" si="2"/>
        <v>-7.6086956521739246E-2</v>
      </c>
      <c r="O188" s="444">
        <f t="shared" si="2"/>
        <v>-1.9607843137254943E-2</v>
      </c>
      <c r="P188" s="444">
        <f t="shared" si="2"/>
        <v>-9.9009900990099098E-3</v>
      </c>
    </row>
    <row r="189" spans="2:16" x14ac:dyDescent="0.2">
      <c r="B189" s="440" t="s">
        <v>1787</v>
      </c>
      <c r="C189" s="440" t="s">
        <v>1804</v>
      </c>
      <c r="D189" s="440" t="s">
        <v>1806</v>
      </c>
      <c r="E189" s="440">
        <v>75</v>
      </c>
      <c r="F189" s="440">
        <v>0.85</v>
      </c>
      <c r="G189" s="443">
        <v>1</v>
      </c>
      <c r="H189" s="443">
        <v>1</v>
      </c>
      <c r="I189" s="443"/>
      <c r="J189" s="440">
        <v>0.92</v>
      </c>
      <c r="K189" s="440">
        <v>1.02</v>
      </c>
      <c r="L189" s="443">
        <v>1</v>
      </c>
      <c r="N189" s="444">
        <f t="shared" si="2"/>
        <v>-7.6086956521739246E-2</v>
      </c>
      <c r="O189" s="444">
        <f t="shared" si="2"/>
        <v>-1.9607843137254943E-2</v>
      </c>
      <c r="P189" s="444">
        <f t="shared" si="2"/>
        <v>0</v>
      </c>
    </row>
    <row r="190" spans="2:16" x14ac:dyDescent="0.2">
      <c r="B190" s="440" t="s">
        <v>1787</v>
      </c>
      <c r="C190" s="440" t="s">
        <v>1804</v>
      </c>
      <c r="D190" s="440" t="s">
        <v>1806</v>
      </c>
      <c r="E190" s="440">
        <v>76</v>
      </c>
      <c r="F190" s="440">
        <v>0.85</v>
      </c>
      <c r="G190" s="443">
        <v>1</v>
      </c>
      <c r="H190" s="443">
        <v>1</v>
      </c>
      <c r="I190" s="443"/>
      <c r="J190" s="440">
        <v>0.92</v>
      </c>
      <c r="K190" s="440">
        <v>1.02</v>
      </c>
      <c r="L190" s="443">
        <v>1</v>
      </c>
      <c r="N190" s="444">
        <f t="shared" si="2"/>
        <v>-7.6086956521739246E-2</v>
      </c>
      <c r="O190" s="444">
        <f t="shared" si="2"/>
        <v>-1.9607843137254943E-2</v>
      </c>
      <c r="P190" s="444">
        <f t="shared" si="2"/>
        <v>0</v>
      </c>
    </row>
    <row r="191" spans="2:16" x14ac:dyDescent="0.2">
      <c r="B191" s="440" t="s">
        <v>1787</v>
      </c>
      <c r="C191" s="440" t="s">
        <v>1804</v>
      </c>
      <c r="D191" s="440" t="s">
        <v>1806</v>
      </c>
      <c r="E191" s="440">
        <v>77</v>
      </c>
      <c r="F191" s="440">
        <v>0.85</v>
      </c>
      <c r="G191" s="443">
        <v>1</v>
      </c>
      <c r="H191" s="443">
        <v>1</v>
      </c>
      <c r="I191" s="443"/>
      <c r="J191" s="440">
        <v>0.92</v>
      </c>
      <c r="K191" s="440">
        <v>1.02</v>
      </c>
      <c r="L191" s="443">
        <v>1</v>
      </c>
      <c r="N191" s="444">
        <f t="shared" si="2"/>
        <v>-7.6086956521739246E-2</v>
      </c>
      <c r="O191" s="444">
        <f t="shared" si="2"/>
        <v>-1.9607843137254943E-2</v>
      </c>
      <c r="P191" s="444">
        <f t="shared" si="2"/>
        <v>0</v>
      </c>
    </row>
    <row r="192" spans="2:16" x14ac:dyDescent="0.2">
      <c r="B192" s="440" t="s">
        <v>1787</v>
      </c>
      <c r="C192" s="440" t="s">
        <v>1804</v>
      </c>
      <c r="D192" s="440" t="s">
        <v>1806</v>
      </c>
      <c r="E192" s="440">
        <v>78</v>
      </c>
      <c r="F192" s="440">
        <v>0.85</v>
      </c>
      <c r="G192" s="443">
        <v>1</v>
      </c>
      <c r="H192" s="443">
        <v>1</v>
      </c>
      <c r="I192" s="443"/>
      <c r="J192" s="440">
        <v>0.92</v>
      </c>
      <c r="K192" s="440">
        <v>1.02</v>
      </c>
      <c r="L192" s="443">
        <v>1</v>
      </c>
      <c r="N192" s="444">
        <f t="shared" si="2"/>
        <v>-7.6086956521739246E-2</v>
      </c>
      <c r="O192" s="444">
        <f t="shared" si="2"/>
        <v>-1.9607843137254943E-2</v>
      </c>
      <c r="P192" s="444">
        <f t="shared" si="2"/>
        <v>0</v>
      </c>
    </row>
    <row r="193" spans="2:16" x14ac:dyDescent="0.2">
      <c r="B193" s="440" t="s">
        <v>1787</v>
      </c>
      <c r="C193" s="440" t="s">
        <v>1804</v>
      </c>
      <c r="D193" s="440" t="s">
        <v>1806</v>
      </c>
      <c r="E193" s="440">
        <v>79</v>
      </c>
      <c r="F193" s="440">
        <v>0.85</v>
      </c>
      <c r="G193" s="443">
        <v>1</v>
      </c>
      <c r="H193" s="443">
        <v>1</v>
      </c>
      <c r="I193" s="443"/>
      <c r="J193" s="440">
        <v>0.92</v>
      </c>
      <c r="K193" s="440">
        <v>1.02</v>
      </c>
      <c r="L193" s="443">
        <v>1</v>
      </c>
      <c r="N193" s="444">
        <f t="shared" si="2"/>
        <v>-7.6086956521739246E-2</v>
      </c>
      <c r="O193" s="444">
        <f t="shared" si="2"/>
        <v>-1.9607843137254943E-2</v>
      </c>
      <c r="P193" s="444">
        <f t="shared" si="2"/>
        <v>0</v>
      </c>
    </row>
    <row r="194" spans="2:16" x14ac:dyDescent="0.2">
      <c r="B194" s="440" t="s">
        <v>1787</v>
      </c>
      <c r="C194" s="440" t="s">
        <v>1804</v>
      </c>
      <c r="D194" s="440" t="s">
        <v>1806</v>
      </c>
      <c r="E194" s="440">
        <v>80</v>
      </c>
      <c r="F194" s="440">
        <v>0.85</v>
      </c>
      <c r="G194" s="443">
        <v>1</v>
      </c>
      <c r="H194" s="443">
        <v>1</v>
      </c>
      <c r="I194" s="443"/>
      <c r="J194" s="440">
        <v>0.92</v>
      </c>
      <c r="K194" s="440">
        <v>1.02</v>
      </c>
      <c r="L194" s="443">
        <v>1</v>
      </c>
      <c r="N194" s="444">
        <f t="shared" si="2"/>
        <v>-7.6086956521739246E-2</v>
      </c>
      <c r="O194" s="444">
        <f t="shared" si="2"/>
        <v>-1.9607843137254943E-2</v>
      </c>
      <c r="P194" s="444">
        <f t="shared" si="2"/>
        <v>0</v>
      </c>
    </row>
    <row r="195" spans="2:16" x14ac:dyDescent="0.2">
      <c r="B195" s="440" t="s">
        <v>1787</v>
      </c>
      <c r="C195" s="440" t="s">
        <v>1804</v>
      </c>
      <c r="D195" s="440" t="s">
        <v>1806</v>
      </c>
      <c r="E195" s="440">
        <v>81</v>
      </c>
      <c r="F195" s="440">
        <v>0.85</v>
      </c>
      <c r="G195" s="443">
        <v>1</v>
      </c>
      <c r="H195" s="443">
        <v>1</v>
      </c>
      <c r="I195" s="443"/>
      <c r="J195" s="440">
        <v>0.92</v>
      </c>
      <c r="K195" s="440">
        <v>1.02</v>
      </c>
      <c r="L195" s="443">
        <v>1</v>
      </c>
      <c r="N195" s="444">
        <f t="shared" si="2"/>
        <v>-7.6086956521739246E-2</v>
      </c>
      <c r="O195" s="444">
        <f t="shared" si="2"/>
        <v>-1.9607843137254943E-2</v>
      </c>
      <c r="P195" s="444">
        <f t="shared" si="2"/>
        <v>0</v>
      </c>
    </row>
    <row r="196" spans="2:16" x14ac:dyDescent="0.2">
      <c r="B196" s="440" t="s">
        <v>1787</v>
      </c>
      <c r="C196" s="440" t="s">
        <v>1804</v>
      </c>
      <c r="D196" s="440" t="s">
        <v>1806</v>
      </c>
      <c r="E196" s="440">
        <v>82</v>
      </c>
      <c r="F196" s="440">
        <v>0.85</v>
      </c>
      <c r="G196" s="443">
        <v>1</v>
      </c>
      <c r="H196" s="443">
        <v>1</v>
      </c>
      <c r="I196" s="443"/>
      <c r="J196" s="440">
        <v>0.92</v>
      </c>
      <c r="K196" s="440">
        <v>1.02</v>
      </c>
      <c r="L196" s="443">
        <v>1</v>
      </c>
      <c r="N196" s="444">
        <f t="shared" si="2"/>
        <v>-7.6086956521739246E-2</v>
      </c>
      <c r="O196" s="444">
        <f t="shared" si="2"/>
        <v>-1.9607843137254943E-2</v>
      </c>
      <c r="P196" s="444">
        <f t="shared" si="2"/>
        <v>0</v>
      </c>
    </row>
    <row r="197" spans="2:16" x14ac:dyDescent="0.2">
      <c r="B197" s="440" t="s">
        <v>1787</v>
      </c>
      <c r="C197" s="440" t="s">
        <v>1804</v>
      </c>
      <c r="D197" s="440" t="s">
        <v>1806</v>
      </c>
      <c r="E197" s="440">
        <v>83</v>
      </c>
      <c r="F197" s="440">
        <v>0.85</v>
      </c>
      <c r="G197" s="443">
        <v>1</v>
      </c>
      <c r="H197" s="443">
        <v>1</v>
      </c>
      <c r="I197" s="443"/>
      <c r="J197" s="440">
        <v>0.92</v>
      </c>
      <c r="K197" s="440">
        <v>1.02</v>
      </c>
      <c r="L197" s="443">
        <v>1</v>
      </c>
      <c r="N197" s="444">
        <f t="shared" si="2"/>
        <v>-7.6086956521739246E-2</v>
      </c>
      <c r="O197" s="444">
        <f t="shared" si="2"/>
        <v>-1.9607843137254943E-2</v>
      </c>
      <c r="P197" s="444">
        <f t="shared" si="2"/>
        <v>0</v>
      </c>
    </row>
    <row r="198" spans="2:16" x14ac:dyDescent="0.2">
      <c r="B198" s="440" t="s">
        <v>1787</v>
      </c>
      <c r="C198" s="440" t="s">
        <v>1804</v>
      </c>
      <c r="D198" s="440" t="s">
        <v>1806</v>
      </c>
      <c r="E198" s="440">
        <v>84</v>
      </c>
      <c r="F198" s="440">
        <v>0.85</v>
      </c>
      <c r="G198" s="443">
        <v>1</v>
      </c>
      <c r="H198" s="443">
        <v>1</v>
      </c>
      <c r="I198" s="443"/>
      <c r="J198" s="440">
        <v>0.92</v>
      </c>
      <c r="K198" s="440">
        <v>1.02</v>
      </c>
      <c r="L198" s="443">
        <v>1</v>
      </c>
      <c r="N198" s="444">
        <f t="shared" si="2"/>
        <v>-7.6086956521739246E-2</v>
      </c>
      <c r="O198" s="444">
        <f t="shared" si="2"/>
        <v>-1.9607843137254943E-2</v>
      </c>
      <c r="P198" s="444">
        <f t="shared" si="2"/>
        <v>0</v>
      </c>
    </row>
    <row r="199" spans="2:16" x14ac:dyDescent="0.2">
      <c r="B199" s="440" t="s">
        <v>1787</v>
      </c>
      <c r="C199" s="440" t="s">
        <v>1804</v>
      </c>
      <c r="D199" s="440" t="s">
        <v>1806</v>
      </c>
      <c r="E199" s="440">
        <v>85</v>
      </c>
      <c r="F199" s="440">
        <v>0.85</v>
      </c>
      <c r="G199" s="443">
        <v>1</v>
      </c>
      <c r="H199" s="443">
        <v>1</v>
      </c>
      <c r="I199" s="443"/>
      <c r="J199" s="440">
        <v>0.92</v>
      </c>
      <c r="K199" s="440">
        <v>1.02</v>
      </c>
      <c r="L199" s="443">
        <v>1</v>
      </c>
      <c r="N199" s="444">
        <f t="shared" si="2"/>
        <v>-7.6086956521739246E-2</v>
      </c>
      <c r="O199" s="444">
        <f t="shared" si="2"/>
        <v>-1.9607843137254943E-2</v>
      </c>
      <c r="P199" s="444">
        <f t="shared" si="2"/>
        <v>0</v>
      </c>
    </row>
    <row r="200" spans="2:16" x14ac:dyDescent="0.2">
      <c r="B200" s="440" t="s">
        <v>1787</v>
      </c>
      <c r="C200" s="440" t="s">
        <v>1804</v>
      </c>
      <c r="D200" s="440" t="s">
        <v>1806</v>
      </c>
      <c r="E200" s="440">
        <v>86</v>
      </c>
      <c r="F200" s="440">
        <v>0.85</v>
      </c>
      <c r="G200" s="443">
        <v>1</v>
      </c>
      <c r="H200" s="443">
        <v>1</v>
      </c>
      <c r="I200" s="443"/>
      <c r="J200" s="440">
        <v>0.92</v>
      </c>
      <c r="K200" s="440">
        <v>1.02</v>
      </c>
      <c r="L200" s="443">
        <v>1</v>
      </c>
      <c r="N200" s="444">
        <f t="shared" si="2"/>
        <v>-7.6086956521739246E-2</v>
      </c>
      <c r="O200" s="444">
        <f t="shared" si="2"/>
        <v>-1.9607843137254943E-2</v>
      </c>
      <c r="P200" s="444">
        <f t="shared" si="2"/>
        <v>0</v>
      </c>
    </row>
    <row r="201" spans="2:16" x14ac:dyDescent="0.2">
      <c r="B201" s="440" t="s">
        <v>1787</v>
      </c>
      <c r="C201" s="440" t="s">
        <v>1804</v>
      </c>
      <c r="D201" s="440" t="s">
        <v>1806</v>
      </c>
      <c r="E201" s="440">
        <v>87</v>
      </c>
      <c r="F201" s="440">
        <v>0.85</v>
      </c>
      <c r="G201" s="443">
        <v>1</v>
      </c>
      <c r="H201" s="443">
        <v>1</v>
      </c>
      <c r="I201" s="443"/>
      <c r="J201" s="440">
        <v>0.92</v>
      </c>
      <c r="K201" s="440">
        <v>1.02</v>
      </c>
      <c r="L201" s="443">
        <v>1</v>
      </c>
      <c r="N201" s="444">
        <f t="shared" si="2"/>
        <v>-7.6086956521739246E-2</v>
      </c>
      <c r="O201" s="444">
        <f t="shared" si="2"/>
        <v>-1.9607843137254943E-2</v>
      </c>
      <c r="P201" s="444">
        <f t="shared" si="2"/>
        <v>0</v>
      </c>
    </row>
    <row r="202" spans="2:16" x14ac:dyDescent="0.2">
      <c r="B202" s="440" t="s">
        <v>1787</v>
      </c>
      <c r="C202" s="440" t="s">
        <v>1804</v>
      </c>
      <c r="D202" s="440" t="s">
        <v>1806</v>
      </c>
      <c r="E202" s="440">
        <v>88</v>
      </c>
      <c r="F202" s="440">
        <v>0.85</v>
      </c>
      <c r="G202" s="443">
        <v>1</v>
      </c>
      <c r="H202" s="443">
        <v>1</v>
      </c>
      <c r="I202" s="443"/>
      <c r="J202" s="440">
        <v>0.92</v>
      </c>
      <c r="K202" s="440">
        <v>1.02</v>
      </c>
      <c r="L202" s="443">
        <v>1</v>
      </c>
      <c r="N202" s="444">
        <f t="shared" si="2"/>
        <v>-7.6086956521739246E-2</v>
      </c>
      <c r="O202" s="444">
        <f t="shared" si="2"/>
        <v>-1.9607843137254943E-2</v>
      </c>
      <c r="P202" s="444">
        <f t="shared" si="2"/>
        <v>0</v>
      </c>
    </row>
    <row r="203" spans="2:16" x14ac:dyDescent="0.2">
      <c r="B203" s="440" t="s">
        <v>1787</v>
      </c>
      <c r="C203" s="440" t="s">
        <v>1804</v>
      </c>
      <c r="D203" s="440" t="s">
        <v>1806</v>
      </c>
      <c r="E203" s="440">
        <v>89</v>
      </c>
      <c r="F203" s="440">
        <v>0.85</v>
      </c>
      <c r="G203" s="443">
        <v>1</v>
      </c>
      <c r="H203" s="443">
        <v>1</v>
      </c>
      <c r="I203" s="443"/>
      <c r="J203" s="440">
        <v>0.92</v>
      </c>
      <c r="K203" s="440">
        <v>1.02</v>
      </c>
      <c r="L203" s="443">
        <v>1</v>
      </c>
      <c r="N203" s="444">
        <f t="shared" si="2"/>
        <v>-7.6086956521739246E-2</v>
      </c>
      <c r="O203" s="444">
        <f t="shared" si="2"/>
        <v>-1.9607843137254943E-2</v>
      </c>
      <c r="P203" s="444">
        <f t="shared" si="2"/>
        <v>0</v>
      </c>
    </row>
    <row r="204" spans="2:16" x14ac:dyDescent="0.2">
      <c r="B204" s="440" t="s">
        <v>1787</v>
      </c>
      <c r="C204" s="440" t="s">
        <v>1804</v>
      </c>
      <c r="D204" s="440" t="s">
        <v>1806</v>
      </c>
      <c r="E204" s="440">
        <v>90</v>
      </c>
      <c r="F204" s="440">
        <v>0.85</v>
      </c>
      <c r="G204" s="443">
        <v>1</v>
      </c>
      <c r="H204" s="443">
        <v>1</v>
      </c>
      <c r="I204" s="443"/>
      <c r="J204" s="440">
        <v>0.92</v>
      </c>
      <c r="K204" s="440">
        <v>1.02</v>
      </c>
      <c r="L204" s="443">
        <v>1</v>
      </c>
      <c r="N204" s="444">
        <f t="shared" si="2"/>
        <v>-7.6086956521739246E-2</v>
      </c>
      <c r="O204" s="444">
        <f t="shared" si="2"/>
        <v>-1.9607843137254943E-2</v>
      </c>
      <c r="P204" s="444">
        <f t="shared" si="2"/>
        <v>0</v>
      </c>
    </row>
    <row r="205" spans="2:16" x14ac:dyDescent="0.2">
      <c r="B205" s="440" t="s">
        <v>1787</v>
      </c>
      <c r="C205" s="440" t="s">
        <v>1804</v>
      </c>
      <c r="D205" s="440" t="s">
        <v>1806</v>
      </c>
      <c r="E205" s="440">
        <v>91</v>
      </c>
      <c r="F205" s="440">
        <v>0.85</v>
      </c>
      <c r="G205" s="443">
        <v>1</v>
      </c>
      <c r="H205" s="443">
        <v>1</v>
      </c>
      <c r="I205" s="443"/>
      <c r="J205" s="440">
        <v>0.92</v>
      </c>
      <c r="K205" s="440">
        <v>1.02</v>
      </c>
      <c r="L205" s="443">
        <v>1</v>
      </c>
      <c r="N205" s="444">
        <f t="shared" ref="N205:P268" si="3">F205/J205-1</f>
        <v>-7.6086956521739246E-2</v>
      </c>
      <c r="O205" s="444">
        <f t="shared" si="3"/>
        <v>-1.9607843137254943E-2</v>
      </c>
      <c r="P205" s="444">
        <f t="shared" si="3"/>
        <v>0</v>
      </c>
    </row>
    <row r="206" spans="2:16" x14ac:dyDescent="0.2">
      <c r="B206" s="440" t="s">
        <v>1787</v>
      </c>
      <c r="C206" s="440" t="s">
        <v>1804</v>
      </c>
      <c r="D206" s="440" t="s">
        <v>1806</v>
      </c>
      <c r="E206" s="440">
        <v>92</v>
      </c>
      <c r="F206" s="440">
        <v>0.85</v>
      </c>
      <c r="G206" s="443">
        <v>1</v>
      </c>
      <c r="H206" s="443">
        <v>1</v>
      </c>
      <c r="I206" s="443"/>
      <c r="J206" s="440">
        <v>0.92</v>
      </c>
      <c r="K206" s="440">
        <v>1.02</v>
      </c>
      <c r="L206" s="443">
        <v>1</v>
      </c>
      <c r="N206" s="444">
        <f t="shared" si="3"/>
        <v>-7.6086956521739246E-2</v>
      </c>
      <c r="O206" s="444">
        <f t="shared" si="3"/>
        <v>-1.9607843137254943E-2</v>
      </c>
      <c r="P206" s="444">
        <f t="shared" si="3"/>
        <v>0</v>
      </c>
    </row>
    <row r="207" spans="2:16" x14ac:dyDescent="0.2">
      <c r="B207" s="440" t="s">
        <v>1787</v>
      </c>
      <c r="C207" s="440" t="s">
        <v>1804</v>
      </c>
      <c r="D207" s="440" t="s">
        <v>1806</v>
      </c>
      <c r="E207" s="440">
        <v>93</v>
      </c>
      <c r="F207" s="440">
        <v>0.85</v>
      </c>
      <c r="G207" s="443">
        <v>1</v>
      </c>
      <c r="H207" s="443">
        <v>1</v>
      </c>
      <c r="I207" s="443"/>
      <c r="J207" s="440">
        <v>0.92</v>
      </c>
      <c r="K207" s="440">
        <v>1.02</v>
      </c>
      <c r="L207" s="443">
        <v>1</v>
      </c>
      <c r="N207" s="444">
        <f t="shared" si="3"/>
        <v>-7.6086956521739246E-2</v>
      </c>
      <c r="O207" s="444">
        <f t="shared" si="3"/>
        <v>-1.9607843137254943E-2</v>
      </c>
      <c r="P207" s="444">
        <f t="shared" si="3"/>
        <v>0</v>
      </c>
    </row>
    <row r="208" spans="2:16" x14ac:dyDescent="0.2">
      <c r="B208" s="440" t="s">
        <v>1787</v>
      </c>
      <c r="C208" s="440" t="s">
        <v>1804</v>
      </c>
      <c r="D208" s="440" t="s">
        <v>1806</v>
      </c>
      <c r="E208" s="440">
        <v>94</v>
      </c>
      <c r="F208" s="440">
        <v>0.85</v>
      </c>
      <c r="G208" s="443">
        <v>1</v>
      </c>
      <c r="H208" s="443">
        <v>1</v>
      </c>
      <c r="I208" s="443"/>
      <c r="J208" s="440">
        <v>0.92</v>
      </c>
      <c r="K208" s="440">
        <v>1.02</v>
      </c>
      <c r="L208" s="443">
        <v>1</v>
      </c>
      <c r="N208" s="444">
        <f t="shared" si="3"/>
        <v>-7.6086956521739246E-2</v>
      </c>
      <c r="O208" s="444">
        <f t="shared" si="3"/>
        <v>-1.9607843137254943E-2</v>
      </c>
      <c r="P208" s="444">
        <f t="shared" si="3"/>
        <v>0</v>
      </c>
    </row>
    <row r="209" spans="2:16" x14ac:dyDescent="0.2">
      <c r="B209" s="440" t="s">
        <v>1787</v>
      </c>
      <c r="C209" s="440" t="s">
        <v>1804</v>
      </c>
      <c r="D209" s="440" t="s">
        <v>1806</v>
      </c>
      <c r="E209" s="440">
        <v>95</v>
      </c>
      <c r="F209" s="440">
        <v>0.85</v>
      </c>
      <c r="G209" s="443">
        <v>1</v>
      </c>
      <c r="H209" s="443">
        <v>1</v>
      </c>
      <c r="I209" s="443"/>
      <c r="J209" s="440">
        <v>0.92</v>
      </c>
      <c r="K209" s="440">
        <v>1.02</v>
      </c>
      <c r="L209" s="443">
        <v>1</v>
      </c>
      <c r="N209" s="444">
        <f t="shared" si="3"/>
        <v>-7.6086956521739246E-2</v>
      </c>
      <c r="O209" s="444">
        <f t="shared" si="3"/>
        <v>-1.9607843137254943E-2</v>
      </c>
      <c r="P209" s="444">
        <f t="shared" si="3"/>
        <v>0</v>
      </c>
    </row>
    <row r="210" spans="2:16" x14ac:dyDescent="0.2">
      <c r="B210" s="440" t="s">
        <v>1787</v>
      </c>
      <c r="C210" s="440" t="s">
        <v>1804</v>
      </c>
      <c r="D210" s="440" t="s">
        <v>1806</v>
      </c>
      <c r="E210" s="440">
        <v>96</v>
      </c>
      <c r="F210" s="440">
        <v>0.85</v>
      </c>
      <c r="G210" s="443">
        <v>1</v>
      </c>
      <c r="H210" s="443">
        <v>1</v>
      </c>
      <c r="I210" s="443"/>
      <c r="J210" s="440">
        <v>0.92</v>
      </c>
      <c r="K210" s="440">
        <v>1.02</v>
      </c>
      <c r="L210" s="443">
        <v>1</v>
      </c>
      <c r="N210" s="444">
        <f t="shared" si="3"/>
        <v>-7.6086956521739246E-2</v>
      </c>
      <c r="O210" s="444">
        <f t="shared" si="3"/>
        <v>-1.9607843137254943E-2</v>
      </c>
      <c r="P210" s="444">
        <f t="shared" si="3"/>
        <v>0</v>
      </c>
    </row>
    <row r="211" spans="2:16" x14ac:dyDescent="0.2">
      <c r="B211" s="440" t="s">
        <v>1787</v>
      </c>
      <c r="C211" s="440" t="s">
        <v>1804</v>
      </c>
      <c r="D211" s="440" t="s">
        <v>1806</v>
      </c>
      <c r="E211" s="440">
        <v>97</v>
      </c>
      <c r="F211" s="440">
        <v>0.85</v>
      </c>
      <c r="G211" s="443">
        <v>1</v>
      </c>
      <c r="H211" s="443">
        <v>1</v>
      </c>
      <c r="I211" s="443"/>
      <c r="J211" s="440">
        <v>0.92</v>
      </c>
      <c r="K211" s="440">
        <v>1.02</v>
      </c>
      <c r="L211" s="443">
        <v>1</v>
      </c>
      <c r="N211" s="444">
        <f t="shared" si="3"/>
        <v>-7.6086956521739246E-2</v>
      </c>
      <c r="O211" s="444">
        <f t="shared" si="3"/>
        <v>-1.9607843137254943E-2</v>
      </c>
      <c r="P211" s="444">
        <f t="shared" si="3"/>
        <v>0</v>
      </c>
    </row>
    <row r="212" spans="2:16" x14ac:dyDescent="0.2">
      <c r="B212" s="440" t="s">
        <v>1787</v>
      </c>
      <c r="C212" s="440" t="s">
        <v>1804</v>
      </c>
      <c r="D212" s="440" t="s">
        <v>1806</v>
      </c>
      <c r="E212" s="440">
        <v>98</v>
      </c>
      <c r="F212" s="440">
        <v>0.85</v>
      </c>
      <c r="G212" s="443">
        <v>1</v>
      </c>
      <c r="H212" s="443">
        <v>1</v>
      </c>
      <c r="I212" s="443"/>
      <c r="J212" s="440">
        <v>0.92</v>
      </c>
      <c r="K212" s="440">
        <v>1.02</v>
      </c>
      <c r="L212" s="443">
        <v>1</v>
      </c>
      <c r="N212" s="444">
        <f t="shared" si="3"/>
        <v>-7.6086956521739246E-2</v>
      </c>
      <c r="O212" s="444">
        <f t="shared" si="3"/>
        <v>-1.9607843137254943E-2</v>
      </c>
      <c r="P212" s="444">
        <f t="shared" si="3"/>
        <v>0</v>
      </c>
    </row>
    <row r="213" spans="2:16" x14ac:dyDescent="0.2">
      <c r="B213" s="440" t="s">
        <v>1787</v>
      </c>
      <c r="C213" s="440" t="s">
        <v>1804</v>
      </c>
      <c r="D213" s="440" t="s">
        <v>1806</v>
      </c>
      <c r="E213" s="440">
        <v>99</v>
      </c>
      <c r="F213" s="440">
        <v>0.85</v>
      </c>
      <c r="G213" s="443">
        <v>1</v>
      </c>
      <c r="H213" s="443">
        <v>1</v>
      </c>
      <c r="I213" s="443"/>
      <c r="J213" s="440">
        <v>0.92</v>
      </c>
      <c r="K213" s="440">
        <v>1.02</v>
      </c>
      <c r="L213" s="443">
        <v>1</v>
      </c>
      <c r="N213" s="444">
        <f t="shared" si="3"/>
        <v>-7.6086956521739246E-2</v>
      </c>
      <c r="O213" s="444">
        <f t="shared" si="3"/>
        <v>-1.9607843137254943E-2</v>
      </c>
      <c r="P213" s="444">
        <f t="shared" si="3"/>
        <v>0</v>
      </c>
    </row>
    <row r="214" spans="2:16" x14ac:dyDescent="0.2">
      <c r="B214" s="440" t="s">
        <v>1787</v>
      </c>
      <c r="C214" s="440" t="s">
        <v>1804</v>
      </c>
      <c r="D214" s="440" t="s">
        <v>1806</v>
      </c>
      <c r="E214" s="440">
        <v>100</v>
      </c>
      <c r="F214" s="440">
        <v>0.85</v>
      </c>
      <c r="G214" s="443">
        <v>1</v>
      </c>
      <c r="H214" s="443">
        <v>1</v>
      </c>
      <c r="I214" s="443"/>
      <c r="J214" s="440">
        <v>0.92</v>
      </c>
      <c r="K214" s="440">
        <v>1.02</v>
      </c>
      <c r="L214" s="443">
        <v>1</v>
      </c>
      <c r="N214" s="444">
        <f t="shared" si="3"/>
        <v>-7.6086956521739246E-2</v>
      </c>
      <c r="O214" s="444">
        <f t="shared" si="3"/>
        <v>-1.9607843137254943E-2</v>
      </c>
      <c r="P214" s="444">
        <f t="shared" si="3"/>
        <v>0</v>
      </c>
    </row>
    <row r="215" spans="2:16" x14ac:dyDescent="0.2">
      <c r="B215" s="440" t="s">
        <v>1790</v>
      </c>
      <c r="C215" s="440" t="s">
        <v>1804</v>
      </c>
      <c r="D215" s="440" t="s">
        <v>1805</v>
      </c>
      <c r="E215" s="440">
        <v>0</v>
      </c>
      <c r="F215" s="440">
        <v>0.93</v>
      </c>
      <c r="G215" s="443">
        <v>1</v>
      </c>
      <c r="H215" s="443">
        <v>2.5</v>
      </c>
      <c r="I215" s="443"/>
      <c r="J215" s="440">
        <v>0.96</v>
      </c>
      <c r="K215" s="443">
        <v>1</v>
      </c>
      <c r="L215" s="443">
        <v>2.5</v>
      </c>
      <c r="N215" s="444">
        <f t="shared" si="3"/>
        <v>-3.1249999999999889E-2</v>
      </c>
      <c r="O215" s="444">
        <f t="shared" si="3"/>
        <v>0</v>
      </c>
      <c r="P215" s="444">
        <f t="shared" si="3"/>
        <v>0</v>
      </c>
    </row>
    <row r="216" spans="2:16" x14ac:dyDescent="0.2">
      <c r="B216" s="440" t="s">
        <v>1790</v>
      </c>
      <c r="C216" s="440" t="s">
        <v>1804</v>
      </c>
      <c r="D216" s="440" t="s">
        <v>1805</v>
      </c>
      <c r="E216" s="440">
        <v>1</v>
      </c>
      <c r="F216" s="440">
        <v>0.93</v>
      </c>
      <c r="G216" s="443">
        <v>1</v>
      </c>
      <c r="H216" s="443">
        <v>2.4</v>
      </c>
      <c r="I216" s="443"/>
      <c r="J216" s="440">
        <v>0.96</v>
      </c>
      <c r="K216" s="443">
        <v>1</v>
      </c>
      <c r="L216" s="443">
        <v>2.5</v>
      </c>
      <c r="N216" s="444">
        <f t="shared" si="3"/>
        <v>-3.1249999999999889E-2</v>
      </c>
      <c r="O216" s="444">
        <f t="shared" si="3"/>
        <v>0</v>
      </c>
      <c r="P216" s="444">
        <f t="shared" si="3"/>
        <v>-4.0000000000000036E-2</v>
      </c>
    </row>
    <row r="217" spans="2:16" x14ac:dyDescent="0.2">
      <c r="B217" s="440" t="s">
        <v>1790</v>
      </c>
      <c r="C217" s="440" t="s">
        <v>1804</v>
      </c>
      <c r="D217" s="440" t="s">
        <v>1805</v>
      </c>
      <c r="E217" s="440">
        <v>2</v>
      </c>
      <c r="F217" s="440">
        <v>0.93</v>
      </c>
      <c r="G217" s="443">
        <v>1</v>
      </c>
      <c r="H217" s="443">
        <v>2.2999999999999998</v>
      </c>
      <c r="I217" s="443"/>
      <c r="J217" s="440">
        <v>0.96</v>
      </c>
      <c r="K217" s="443">
        <v>1</v>
      </c>
      <c r="L217" s="443">
        <v>2.5</v>
      </c>
      <c r="N217" s="444">
        <f t="shared" si="3"/>
        <v>-3.1249999999999889E-2</v>
      </c>
      <c r="O217" s="444">
        <f t="shared" si="3"/>
        <v>0</v>
      </c>
      <c r="P217" s="444">
        <f t="shared" si="3"/>
        <v>-8.0000000000000071E-2</v>
      </c>
    </row>
    <row r="218" spans="2:16" x14ac:dyDescent="0.2">
      <c r="B218" s="440" t="s">
        <v>1790</v>
      </c>
      <c r="C218" s="440" t="s">
        <v>1804</v>
      </c>
      <c r="D218" s="440" t="s">
        <v>1805</v>
      </c>
      <c r="E218" s="440">
        <v>3</v>
      </c>
      <c r="F218" s="440">
        <v>0.93</v>
      </c>
      <c r="G218" s="443">
        <v>1</v>
      </c>
      <c r="H218" s="443">
        <v>2.2000000000000002</v>
      </c>
      <c r="I218" s="443"/>
      <c r="J218" s="440">
        <v>0.96</v>
      </c>
      <c r="K218" s="443">
        <v>1</v>
      </c>
      <c r="L218" s="443">
        <v>2.5</v>
      </c>
      <c r="N218" s="444">
        <f t="shared" si="3"/>
        <v>-3.1249999999999889E-2</v>
      </c>
      <c r="O218" s="444">
        <f t="shared" si="3"/>
        <v>0</v>
      </c>
      <c r="P218" s="444">
        <f t="shared" si="3"/>
        <v>-0.11999999999999988</v>
      </c>
    </row>
    <row r="219" spans="2:16" x14ac:dyDescent="0.2">
      <c r="B219" s="440" t="s">
        <v>1790</v>
      </c>
      <c r="C219" s="440" t="s">
        <v>1804</v>
      </c>
      <c r="D219" s="440" t="s">
        <v>1805</v>
      </c>
      <c r="E219" s="440">
        <v>4</v>
      </c>
      <c r="F219" s="440">
        <v>0.93</v>
      </c>
      <c r="G219" s="443">
        <v>1</v>
      </c>
      <c r="H219" s="443">
        <v>2.15</v>
      </c>
      <c r="I219" s="443"/>
      <c r="J219" s="440">
        <v>0.96</v>
      </c>
      <c r="K219" s="443">
        <v>1</v>
      </c>
      <c r="L219" s="443">
        <v>2.4</v>
      </c>
      <c r="N219" s="444">
        <f t="shared" si="3"/>
        <v>-3.1249999999999889E-2</v>
      </c>
      <c r="O219" s="444">
        <f t="shared" si="3"/>
        <v>0</v>
      </c>
      <c r="P219" s="444">
        <f t="shared" si="3"/>
        <v>-0.10416666666666663</v>
      </c>
    </row>
    <row r="220" spans="2:16" x14ac:dyDescent="0.2">
      <c r="B220" s="440" t="s">
        <v>1790</v>
      </c>
      <c r="C220" s="440" t="s">
        <v>1804</v>
      </c>
      <c r="D220" s="440" t="s">
        <v>1805</v>
      </c>
      <c r="E220" s="440">
        <v>5</v>
      </c>
      <c r="F220" s="440">
        <v>0.93</v>
      </c>
      <c r="G220" s="443">
        <v>1</v>
      </c>
      <c r="H220" s="443">
        <v>2.1</v>
      </c>
      <c r="I220" s="443"/>
      <c r="J220" s="440">
        <v>0.96</v>
      </c>
      <c r="K220" s="443">
        <v>1</v>
      </c>
      <c r="L220" s="443">
        <v>2.2999999999999998</v>
      </c>
      <c r="N220" s="444">
        <f t="shared" si="3"/>
        <v>-3.1249999999999889E-2</v>
      </c>
      <c r="O220" s="444">
        <f t="shared" si="3"/>
        <v>0</v>
      </c>
      <c r="P220" s="444">
        <f t="shared" si="3"/>
        <v>-8.6956521739130377E-2</v>
      </c>
    </row>
    <row r="221" spans="2:16" x14ac:dyDescent="0.2">
      <c r="B221" s="440" t="s">
        <v>1790</v>
      </c>
      <c r="C221" s="440" t="s">
        <v>1804</v>
      </c>
      <c r="D221" s="440" t="s">
        <v>1805</v>
      </c>
      <c r="E221" s="440">
        <v>6</v>
      </c>
      <c r="F221" s="440">
        <v>0.93</v>
      </c>
      <c r="G221" s="443">
        <v>1</v>
      </c>
      <c r="H221" s="443">
        <v>2.0499999999999998</v>
      </c>
      <c r="I221" s="443"/>
      <c r="J221" s="440">
        <v>0.96</v>
      </c>
      <c r="K221" s="443">
        <v>1</v>
      </c>
      <c r="L221" s="443">
        <v>2.2000000000000002</v>
      </c>
      <c r="N221" s="444">
        <f t="shared" si="3"/>
        <v>-3.1249999999999889E-2</v>
      </c>
      <c r="O221" s="444">
        <f t="shared" si="3"/>
        <v>0</v>
      </c>
      <c r="P221" s="444">
        <f t="shared" si="3"/>
        <v>-6.8181818181818343E-2</v>
      </c>
    </row>
    <row r="222" spans="2:16" x14ac:dyDescent="0.2">
      <c r="B222" s="440" t="s">
        <v>1790</v>
      </c>
      <c r="C222" s="440" t="s">
        <v>1804</v>
      </c>
      <c r="D222" s="440" t="s">
        <v>1805</v>
      </c>
      <c r="E222" s="440">
        <v>7</v>
      </c>
      <c r="F222" s="440">
        <v>0.93</v>
      </c>
      <c r="G222" s="443">
        <v>1</v>
      </c>
      <c r="H222" s="443">
        <v>2</v>
      </c>
      <c r="I222" s="443"/>
      <c r="J222" s="440">
        <v>0.96</v>
      </c>
      <c r="K222" s="443">
        <v>1</v>
      </c>
      <c r="L222" s="443">
        <v>2.1</v>
      </c>
      <c r="N222" s="444">
        <f t="shared" si="3"/>
        <v>-3.1249999999999889E-2</v>
      </c>
      <c r="O222" s="444">
        <f t="shared" si="3"/>
        <v>0</v>
      </c>
      <c r="P222" s="444">
        <f t="shared" si="3"/>
        <v>-4.7619047619047672E-2</v>
      </c>
    </row>
    <row r="223" spans="2:16" x14ac:dyDescent="0.2">
      <c r="B223" s="440" t="s">
        <v>1790</v>
      </c>
      <c r="C223" s="440" t="s">
        <v>1804</v>
      </c>
      <c r="D223" s="440" t="s">
        <v>1805</v>
      </c>
      <c r="E223" s="440">
        <v>8</v>
      </c>
      <c r="F223" s="440">
        <v>0.93</v>
      </c>
      <c r="G223" s="443">
        <v>1</v>
      </c>
      <c r="H223" s="443">
        <v>1.95</v>
      </c>
      <c r="I223" s="443"/>
      <c r="J223" s="440">
        <v>0.96</v>
      </c>
      <c r="K223" s="443">
        <v>1</v>
      </c>
      <c r="L223" s="443">
        <v>2.0499999999999998</v>
      </c>
      <c r="N223" s="444">
        <f t="shared" si="3"/>
        <v>-3.1249999999999889E-2</v>
      </c>
      <c r="O223" s="444">
        <f t="shared" si="3"/>
        <v>0</v>
      </c>
      <c r="P223" s="444">
        <f t="shared" si="3"/>
        <v>-4.8780487804877981E-2</v>
      </c>
    </row>
    <row r="224" spans="2:16" x14ac:dyDescent="0.2">
      <c r="B224" s="440" t="s">
        <v>1790</v>
      </c>
      <c r="C224" s="440" t="s">
        <v>1804</v>
      </c>
      <c r="D224" s="440" t="s">
        <v>1805</v>
      </c>
      <c r="E224" s="440">
        <v>9</v>
      </c>
      <c r="F224" s="440">
        <v>0.93</v>
      </c>
      <c r="G224" s="443">
        <v>1</v>
      </c>
      <c r="H224" s="443">
        <v>1.9</v>
      </c>
      <c r="I224" s="443"/>
      <c r="J224" s="440">
        <v>0.96</v>
      </c>
      <c r="K224" s="443">
        <v>1</v>
      </c>
      <c r="L224" s="443">
        <v>2</v>
      </c>
      <c r="N224" s="444">
        <f t="shared" si="3"/>
        <v>-3.1249999999999889E-2</v>
      </c>
      <c r="O224" s="444">
        <f t="shared" si="3"/>
        <v>0</v>
      </c>
      <c r="P224" s="444">
        <f t="shared" si="3"/>
        <v>-5.0000000000000044E-2</v>
      </c>
    </row>
    <row r="225" spans="2:16" x14ac:dyDescent="0.2">
      <c r="B225" s="440" t="s">
        <v>1790</v>
      </c>
      <c r="C225" s="440" t="s">
        <v>1804</v>
      </c>
      <c r="D225" s="440" t="s">
        <v>1805</v>
      </c>
      <c r="E225" s="440">
        <v>10</v>
      </c>
      <c r="F225" s="440">
        <v>0.93</v>
      </c>
      <c r="G225" s="443">
        <v>1</v>
      </c>
      <c r="H225" s="443">
        <v>1.85</v>
      </c>
      <c r="I225" s="443"/>
      <c r="J225" s="440">
        <v>0.96</v>
      </c>
      <c r="K225" s="443">
        <v>1</v>
      </c>
      <c r="L225" s="443">
        <v>1.9</v>
      </c>
      <c r="N225" s="444">
        <f t="shared" si="3"/>
        <v>-3.1249999999999889E-2</v>
      </c>
      <c r="O225" s="444">
        <f t="shared" si="3"/>
        <v>0</v>
      </c>
      <c r="P225" s="444">
        <f t="shared" si="3"/>
        <v>-2.631578947368407E-2</v>
      </c>
    </row>
    <row r="226" spans="2:16" x14ac:dyDescent="0.2">
      <c r="B226" s="440" t="s">
        <v>1790</v>
      </c>
      <c r="C226" s="440" t="s">
        <v>1804</v>
      </c>
      <c r="D226" s="440" t="s">
        <v>1805</v>
      </c>
      <c r="E226" s="440">
        <v>11</v>
      </c>
      <c r="F226" s="440">
        <v>0.93</v>
      </c>
      <c r="G226" s="443">
        <v>1</v>
      </c>
      <c r="H226" s="443">
        <v>1.8</v>
      </c>
      <c r="I226" s="443"/>
      <c r="J226" s="440">
        <v>0.96</v>
      </c>
      <c r="K226" s="443">
        <v>1</v>
      </c>
      <c r="L226" s="443">
        <v>1.85</v>
      </c>
      <c r="N226" s="444">
        <f t="shared" si="3"/>
        <v>-3.1249999999999889E-2</v>
      </c>
      <c r="O226" s="444">
        <f t="shared" si="3"/>
        <v>0</v>
      </c>
      <c r="P226" s="444">
        <f t="shared" si="3"/>
        <v>-2.7027027027027084E-2</v>
      </c>
    </row>
    <row r="227" spans="2:16" x14ac:dyDescent="0.2">
      <c r="B227" s="440" t="s">
        <v>1790</v>
      </c>
      <c r="C227" s="440" t="s">
        <v>1804</v>
      </c>
      <c r="D227" s="440" t="s">
        <v>1805</v>
      </c>
      <c r="E227" s="440">
        <v>12</v>
      </c>
      <c r="F227" s="440">
        <v>0.93</v>
      </c>
      <c r="G227" s="443">
        <v>1</v>
      </c>
      <c r="H227" s="443">
        <v>1.76</v>
      </c>
      <c r="I227" s="443"/>
      <c r="J227" s="440">
        <v>0.96</v>
      </c>
      <c r="K227" s="443">
        <v>1</v>
      </c>
      <c r="L227" s="443">
        <v>1.8</v>
      </c>
      <c r="N227" s="444">
        <f t="shared" si="3"/>
        <v>-3.1249999999999889E-2</v>
      </c>
      <c r="O227" s="444">
        <f t="shared" si="3"/>
        <v>0</v>
      </c>
      <c r="P227" s="444">
        <f t="shared" si="3"/>
        <v>-2.2222222222222254E-2</v>
      </c>
    </row>
    <row r="228" spans="2:16" x14ac:dyDescent="0.2">
      <c r="B228" s="440" t="s">
        <v>1790</v>
      </c>
      <c r="C228" s="440" t="s">
        <v>1804</v>
      </c>
      <c r="D228" s="440" t="s">
        <v>1805</v>
      </c>
      <c r="E228" s="440">
        <v>13</v>
      </c>
      <c r="F228" s="440">
        <v>0.93</v>
      </c>
      <c r="G228" s="443">
        <v>1</v>
      </c>
      <c r="H228" s="443">
        <v>1.72</v>
      </c>
      <c r="J228" s="440">
        <v>0.96</v>
      </c>
      <c r="K228" s="443">
        <v>1</v>
      </c>
      <c r="L228" s="443">
        <v>1.76</v>
      </c>
      <c r="N228" s="444">
        <f t="shared" si="3"/>
        <v>-3.1249999999999889E-2</v>
      </c>
      <c r="O228" s="444">
        <f t="shared" si="3"/>
        <v>0</v>
      </c>
      <c r="P228" s="444">
        <f t="shared" si="3"/>
        <v>-2.2727272727272707E-2</v>
      </c>
    </row>
    <row r="229" spans="2:16" x14ac:dyDescent="0.2">
      <c r="B229" s="440" t="s">
        <v>1790</v>
      </c>
      <c r="C229" s="440" t="s">
        <v>1804</v>
      </c>
      <c r="D229" s="440" t="s">
        <v>1805</v>
      </c>
      <c r="E229" s="440">
        <v>14</v>
      </c>
      <c r="F229" s="440">
        <v>0.93</v>
      </c>
      <c r="G229" s="443">
        <v>1</v>
      </c>
      <c r="H229" s="443">
        <v>1.68</v>
      </c>
      <c r="J229" s="440">
        <v>0.96</v>
      </c>
      <c r="K229" s="443">
        <v>1</v>
      </c>
      <c r="L229" s="443">
        <v>1.72</v>
      </c>
      <c r="N229" s="444">
        <f t="shared" si="3"/>
        <v>-3.1249999999999889E-2</v>
      </c>
      <c r="O229" s="444">
        <f t="shared" si="3"/>
        <v>0</v>
      </c>
      <c r="P229" s="444">
        <f t="shared" si="3"/>
        <v>-2.3255813953488413E-2</v>
      </c>
    </row>
    <row r="230" spans="2:16" x14ac:dyDescent="0.2">
      <c r="B230" s="440" t="s">
        <v>1790</v>
      </c>
      <c r="C230" s="440" t="s">
        <v>1804</v>
      </c>
      <c r="D230" s="440" t="s">
        <v>1805</v>
      </c>
      <c r="E230" s="440">
        <v>15</v>
      </c>
      <c r="F230" s="440">
        <v>0.93</v>
      </c>
      <c r="G230" s="443">
        <v>1</v>
      </c>
      <c r="H230" s="443">
        <v>1.64</v>
      </c>
      <c r="J230" s="440">
        <v>0.96</v>
      </c>
      <c r="K230" s="443">
        <v>1</v>
      </c>
      <c r="L230" s="443">
        <v>1.68</v>
      </c>
      <c r="N230" s="444">
        <f t="shared" si="3"/>
        <v>-3.1249999999999889E-2</v>
      </c>
      <c r="O230" s="444">
        <f t="shared" si="3"/>
        <v>0</v>
      </c>
      <c r="P230" s="444">
        <f t="shared" si="3"/>
        <v>-2.3809523809523836E-2</v>
      </c>
    </row>
    <row r="231" spans="2:16" x14ac:dyDescent="0.2">
      <c r="B231" s="440" t="s">
        <v>1790</v>
      </c>
      <c r="C231" s="440" t="s">
        <v>1804</v>
      </c>
      <c r="D231" s="440" t="s">
        <v>1805</v>
      </c>
      <c r="E231" s="440">
        <v>16</v>
      </c>
      <c r="F231" s="440">
        <v>0.93</v>
      </c>
      <c r="G231" s="443">
        <v>1</v>
      </c>
      <c r="H231" s="443">
        <v>1.61</v>
      </c>
      <c r="J231" s="440">
        <v>0.96</v>
      </c>
      <c r="K231" s="443">
        <v>1</v>
      </c>
      <c r="L231" s="443">
        <v>1.64</v>
      </c>
      <c r="N231" s="444">
        <f t="shared" si="3"/>
        <v>-3.1249999999999889E-2</v>
      </c>
      <c r="O231" s="444">
        <f t="shared" si="3"/>
        <v>0</v>
      </c>
      <c r="P231" s="444">
        <f t="shared" si="3"/>
        <v>-1.8292682926829174E-2</v>
      </c>
    </row>
    <row r="232" spans="2:16" x14ac:dyDescent="0.2">
      <c r="B232" s="440" t="s">
        <v>1790</v>
      </c>
      <c r="C232" s="440" t="s">
        <v>1804</v>
      </c>
      <c r="D232" s="440" t="s">
        <v>1805</v>
      </c>
      <c r="E232" s="440">
        <v>17</v>
      </c>
      <c r="F232" s="440">
        <v>0.93</v>
      </c>
      <c r="G232" s="443">
        <v>1</v>
      </c>
      <c r="H232" s="443">
        <v>1.58</v>
      </c>
      <c r="J232" s="440">
        <v>0.96</v>
      </c>
      <c r="K232" s="443">
        <v>1</v>
      </c>
      <c r="L232" s="443">
        <v>1.61</v>
      </c>
      <c r="N232" s="444">
        <f t="shared" si="3"/>
        <v>-3.1249999999999889E-2</v>
      </c>
      <c r="O232" s="444">
        <f t="shared" si="3"/>
        <v>0</v>
      </c>
      <c r="P232" s="444">
        <f t="shared" si="3"/>
        <v>-1.8633540372670843E-2</v>
      </c>
    </row>
    <row r="233" spans="2:16" x14ac:dyDescent="0.2">
      <c r="B233" s="440" t="s">
        <v>1790</v>
      </c>
      <c r="C233" s="440" t="s">
        <v>1804</v>
      </c>
      <c r="D233" s="440" t="s">
        <v>1805</v>
      </c>
      <c r="E233" s="440">
        <v>18</v>
      </c>
      <c r="F233" s="440">
        <v>0.93</v>
      </c>
      <c r="G233" s="443">
        <v>1</v>
      </c>
      <c r="H233" s="443">
        <v>1.55</v>
      </c>
      <c r="J233" s="440">
        <v>0.96</v>
      </c>
      <c r="K233" s="443">
        <v>1</v>
      </c>
      <c r="L233" s="443">
        <v>1.58</v>
      </c>
      <c r="N233" s="444">
        <f t="shared" si="3"/>
        <v>-3.1249999999999889E-2</v>
      </c>
      <c r="O233" s="444">
        <f t="shared" si="3"/>
        <v>0</v>
      </c>
      <c r="P233" s="444">
        <f t="shared" si="3"/>
        <v>-1.8987341772151889E-2</v>
      </c>
    </row>
    <row r="234" spans="2:16" x14ac:dyDescent="0.2">
      <c r="B234" s="440" t="s">
        <v>1790</v>
      </c>
      <c r="C234" s="440" t="s">
        <v>1804</v>
      </c>
      <c r="D234" s="440" t="s">
        <v>1805</v>
      </c>
      <c r="E234" s="440">
        <v>19</v>
      </c>
      <c r="F234" s="440">
        <v>0.93</v>
      </c>
      <c r="G234" s="443">
        <v>1</v>
      </c>
      <c r="H234" s="443">
        <v>1.52</v>
      </c>
      <c r="J234" s="440">
        <v>0.96</v>
      </c>
      <c r="K234" s="443">
        <v>1</v>
      </c>
      <c r="L234" s="443">
        <v>1.55</v>
      </c>
      <c r="N234" s="444">
        <f t="shared" si="3"/>
        <v>-3.1249999999999889E-2</v>
      </c>
      <c r="O234" s="444">
        <f t="shared" si="3"/>
        <v>0</v>
      </c>
      <c r="P234" s="444">
        <f t="shared" si="3"/>
        <v>-1.9354838709677469E-2</v>
      </c>
    </row>
    <row r="235" spans="2:16" x14ac:dyDescent="0.2">
      <c r="B235" s="440" t="s">
        <v>1790</v>
      </c>
      <c r="C235" s="440" t="s">
        <v>1804</v>
      </c>
      <c r="D235" s="440" t="s">
        <v>1805</v>
      </c>
      <c r="E235" s="440">
        <v>20</v>
      </c>
      <c r="F235" s="440">
        <v>0.93</v>
      </c>
      <c r="G235" s="443">
        <v>1</v>
      </c>
      <c r="H235" s="443">
        <v>1.49</v>
      </c>
      <c r="J235" s="440">
        <v>0.96</v>
      </c>
      <c r="K235" s="443">
        <v>1</v>
      </c>
      <c r="L235" s="443">
        <v>1.52</v>
      </c>
      <c r="N235" s="444">
        <f t="shared" si="3"/>
        <v>-3.1249999999999889E-2</v>
      </c>
      <c r="O235" s="444">
        <f t="shared" si="3"/>
        <v>0</v>
      </c>
      <c r="P235" s="444">
        <f t="shared" si="3"/>
        <v>-1.9736842105263164E-2</v>
      </c>
    </row>
    <row r="236" spans="2:16" x14ac:dyDescent="0.2">
      <c r="B236" s="440" t="s">
        <v>1790</v>
      </c>
      <c r="C236" s="440" t="s">
        <v>1804</v>
      </c>
      <c r="D236" s="440" t="s">
        <v>1805</v>
      </c>
      <c r="E236" s="440">
        <v>21</v>
      </c>
      <c r="F236" s="440">
        <v>0.93</v>
      </c>
      <c r="G236" s="443">
        <v>1</v>
      </c>
      <c r="H236" s="443">
        <v>1.46</v>
      </c>
      <c r="J236" s="440">
        <v>0.96</v>
      </c>
      <c r="K236" s="443">
        <v>1</v>
      </c>
      <c r="L236" s="443">
        <v>1.49</v>
      </c>
      <c r="N236" s="444">
        <f t="shared" si="3"/>
        <v>-3.1249999999999889E-2</v>
      </c>
      <c r="O236" s="444">
        <f t="shared" si="3"/>
        <v>0</v>
      </c>
      <c r="P236" s="444">
        <f t="shared" si="3"/>
        <v>-2.0134228187919434E-2</v>
      </c>
    </row>
    <row r="237" spans="2:16" x14ac:dyDescent="0.2">
      <c r="B237" s="440" t="s">
        <v>1790</v>
      </c>
      <c r="C237" s="440" t="s">
        <v>1804</v>
      </c>
      <c r="D237" s="440" t="s">
        <v>1805</v>
      </c>
      <c r="E237" s="440">
        <v>22</v>
      </c>
      <c r="F237" s="440">
        <v>0.93</v>
      </c>
      <c r="G237" s="443">
        <v>1</v>
      </c>
      <c r="H237" s="443">
        <v>1.43</v>
      </c>
      <c r="J237" s="440">
        <v>0.96</v>
      </c>
      <c r="K237" s="443">
        <v>1</v>
      </c>
      <c r="L237" s="443">
        <v>1.46</v>
      </c>
      <c r="N237" s="444">
        <f t="shared" si="3"/>
        <v>-3.1249999999999889E-2</v>
      </c>
      <c r="O237" s="444">
        <f t="shared" si="3"/>
        <v>0</v>
      </c>
      <c r="P237" s="444">
        <f t="shared" si="3"/>
        <v>-2.0547945205479423E-2</v>
      </c>
    </row>
    <row r="238" spans="2:16" x14ac:dyDescent="0.2">
      <c r="B238" s="440" t="s">
        <v>1790</v>
      </c>
      <c r="C238" s="440" t="s">
        <v>1804</v>
      </c>
      <c r="D238" s="440" t="s">
        <v>1805</v>
      </c>
      <c r="E238" s="440">
        <v>23</v>
      </c>
      <c r="F238" s="440">
        <v>0.93</v>
      </c>
      <c r="G238" s="443">
        <v>1</v>
      </c>
      <c r="H238" s="443">
        <v>1.4</v>
      </c>
      <c r="J238" s="440">
        <v>0.96</v>
      </c>
      <c r="K238" s="443">
        <v>1</v>
      </c>
      <c r="L238" s="443">
        <v>1.43</v>
      </c>
      <c r="N238" s="444">
        <f t="shared" si="3"/>
        <v>-3.1249999999999889E-2</v>
      </c>
      <c r="O238" s="444">
        <f t="shared" si="3"/>
        <v>0</v>
      </c>
      <c r="P238" s="444">
        <f t="shared" si="3"/>
        <v>-2.0979020979021046E-2</v>
      </c>
    </row>
    <row r="239" spans="2:16" x14ac:dyDescent="0.2">
      <c r="B239" s="440" t="s">
        <v>1790</v>
      </c>
      <c r="C239" s="440" t="s">
        <v>1804</v>
      </c>
      <c r="D239" s="440" t="s">
        <v>1805</v>
      </c>
      <c r="E239" s="440">
        <v>24</v>
      </c>
      <c r="F239" s="440">
        <v>0.93</v>
      </c>
      <c r="G239" s="443">
        <v>1</v>
      </c>
      <c r="H239" s="443">
        <v>1.38</v>
      </c>
      <c r="J239" s="440">
        <v>0.96</v>
      </c>
      <c r="K239" s="443">
        <v>1</v>
      </c>
      <c r="L239" s="443">
        <v>1.4</v>
      </c>
      <c r="N239" s="444">
        <f t="shared" si="3"/>
        <v>-3.1249999999999889E-2</v>
      </c>
      <c r="O239" s="444">
        <f t="shared" si="3"/>
        <v>0</v>
      </c>
      <c r="P239" s="444">
        <f t="shared" si="3"/>
        <v>-1.4285714285714346E-2</v>
      </c>
    </row>
    <row r="240" spans="2:16" x14ac:dyDescent="0.2">
      <c r="B240" s="440" t="s">
        <v>1790</v>
      </c>
      <c r="C240" s="440" t="s">
        <v>1804</v>
      </c>
      <c r="D240" s="440" t="s">
        <v>1805</v>
      </c>
      <c r="E240" s="440">
        <v>25</v>
      </c>
      <c r="F240" s="440">
        <v>0.93</v>
      </c>
      <c r="G240" s="443">
        <v>1</v>
      </c>
      <c r="H240" s="443">
        <v>1.36</v>
      </c>
      <c r="J240" s="440">
        <v>0.96</v>
      </c>
      <c r="K240" s="443">
        <v>1</v>
      </c>
      <c r="L240" s="443">
        <v>1.38</v>
      </c>
      <c r="N240" s="444">
        <f t="shared" si="3"/>
        <v>-3.1249999999999889E-2</v>
      </c>
      <c r="O240" s="444">
        <f t="shared" si="3"/>
        <v>0</v>
      </c>
      <c r="P240" s="444">
        <f t="shared" si="3"/>
        <v>-1.4492753623188248E-2</v>
      </c>
    </row>
    <row r="241" spans="2:16" x14ac:dyDescent="0.2">
      <c r="B241" s="440" t="s">
        <v>1790</v>
      </c>
      <c r="C241" s="440" t="s">
        <v>1804</v>
      </c>
      <c r="D241" s="440" t="s">
        <v>1805</v>
      </c>
      <c r="E241" s="440">
        <v>26</v>
      </c>
      <c r="F241" s="440">
        <v>0.93</v>
      </c>
      <c r="G241" s="443">
        <v>1</v>
      </c>
      <c r="H241" s="443">
        <v>1.34</v>
      </c>
      <c r="J241" s="440">
        <v>0.96</v>
      </c>
      <c r="K241" s="443">
        <v>1</v>
      </c>
      <c r="L241" s="443">
        <v>1.36</v>
      </c>
      <c r="N241" s="444">
        <f t="shared" si="3"/>
        <v>-3.1249999999999889E-2</v>
      </c>
      <c r="O241" s="444">
        <f t="shared" si="3"/>
        <v>0</v>
      </c>
      <c r="P241" s="444">
        <f t="shared" si="3"/>
        <v>-1.4705882352941235E-2</v>
      </c>
    </row>
    <row r="242" spans="2:16" x14ac:dyDescent="0.2">
      <c r="B242" s="440" t="s">
        <v>1790</v>
      </c>
      <c r="C242" s="440" t="s">
        <v>1804</v>
      </c>
      <c r="D242" s="440" t="s">
        <v>1805</v>
      </c>
      <c r="E242" s="440">
        <v>27</v>
      </c>
      <c r="F242" s="440">
        <v>0.93</v>
      </c>
      <c r="G242" s="443">
        <v>1</v>
      </c>
      <c r="H242" s="443">
        <v>1.32</v>
      </c>
      <c r="J242" s="440">
        <v>0.96</v>
      </c>
      <c r="K242" s="443">
        <v>1</v>
      </c>
      <c r="L242" s="443">
        <v>1.34</v>
      </c>
      <c r="N242" s="444">
        <f t="shared" si="3"/>
        <v>-3.1249999999999889E-2</v>
      </c>
      <c r="O242" s="444">
        <f t="shared" si="3"/>
        <v>0</v>
      </c>
      <c r="P242" s="444">
        <f t="shared" si="3"/>
        <v>-1.4925373134328401E-2</v>
      </c>
    </row>
    <row r="243" spans="2:16" x14ac:dyDescent="0.2">
      <c r="B243" s="440" t="s">
        <v>1790</v>
      </c>
      <c r="C243" s="440" t="s">
        <v>1804</v>
      </c>
      <c r="D243" s="440" t="s">
        <v>1805</v>
      </c>
      <c r="E243" s="440">
        <v>28</v>
      </c>
      <c r="F243" s="440">
        <v>0.93</v>
      </c>
      <c r="G243" s="443">
        <v>1</v>
      </c>
      <c r="H243" s="443">
        <v>1.3</v>
      </c>
      <c r="J243" s="440">
        <v>0.96</v>
      </c>
      <c r="K243" s="443">
        <v>1</v>
      </c>
      <c r="L243" s="443">
        <v>1.32</v>
      </c>
      <c r="N243" s="444">
        <f t="shared" si="3"/>
        <v>-3.1249999999999889E-2</v>
      </c>
      <c r="O243" s="444">
        <f t="shared" si="3"/>
        <v>0</v>
      </c>
      <c r="P243" s="444">
        <f t="shared" si="3"/>
        <v>-1.5151515151515138E-2</v>
      </c>
    </row>
    <row r="244" spans="2:16" x14ac:dyDescent="0.2">
      <c r="B244" s="440" t="s">
        <v>1790</v>
      </c>
      <c r="C244" s="440" t="s">
        <v>1804</v>
      </c>
      <c r="D244" s="440" t="s">
        <v>1805</v>
      </c>
      <c r="E244" s="440">
        <v>29</v>
      </c>
      <c r="F244" s="440">
        <v>0.93</v>
      </c>
      <c r="G244" s="443">
        <v>1</v>
      </c>
      <c r="H244" s="443">
        <v>1.28</v>
      </c>
      <c r="J244" s="440">
        <v>0.96</v>
      </c>
      <c r="K244" s="443">
        <v>1</v>
      </c>
      <c r="L244" s="443">
        <v>1.3</v>
      </c>
      <c r="N244" s="444">
        <f t="shared" si="3"/>
        <v>-3.1249999999999889E-2</v>
      </c>
      <c r="O244" s="444">
        <f t="shared" si="3"/>
        <v>0</v>
      </c>
      <c r="P244" s="444">
        <f t="shared" si="3"/>
        <v>-1.5384615384615441E-2</v>
      </c>
    </row>
    <row r="245" spans="2:16" x14ac:dyDescent="0.2">
      <c r="B245" s="440" t="s">
        <v>1790</v>
      </c>
      <c r="C245" s="440" t="s">
        <v>1804</v>
      </c>
      <c r="D245" s="440" t="s">
        <v>1805</v>
      </c>
      <c r="E245" s="440">
        <v>30</v>
      </c>
      <c r="F245" s="440">
        <v>0.93</v>
      </c>
      <c r="G245" s="443">
        <v>1</v>
      </c>
      <c r="H245" s="443">
        <v>1.27</v>
      </c>
      <c r="J245" s="440">
        <v>0.96</v>
      </c>
      <c r="K245" s="443">
        <v>1</v>
      </c>
      <c r="L245" s="443">
        <v>1.28</v>
      </c>
      <c r="N245" s="444">
        <f t="shared" si="3"/>
        <v>-3.1249999999999889E-2</v>
      </c>
      <c r="O245" s="444">
        <f t="shared" si="3"/>
        <v>0</v>
      </c>
      <c r="P245" s="444">
        <f t="shared" si="3"/>
        <v>-7.8125E-3</v>
      </c>
    </row>
    <row r="246" spans="2:16" x14ac:dyDescent="0.2">
      <c r="B246" s="440" t="s">
        <v>1790</v>
      </c>
      <c r="C246" s="440" t="s">
        <v>1804</v>
      </c>
      <c r="D246" s="440" t="s">
        <v>1805</v>
      </c>
      <c r="E246" s="440">
        <v>31</v>
      </c>
      <c r="F246" s="440">
        <v>0.93</v>
      </c>
      <c r="G246" s="443">
        <v>1</v>
      </c>
      <c r="H246" s="443">
        <v>1.26</v>
      </c>
      <c r="J246" s="440">
        <v>0.96</v>
      </c>
      <c r="K246" s="443">
        <v>1</v>
      </c>
      <c r="L246" s="443">
        <v>1.27</v>
      </c>
      <c r="N246" s="444">
        <f t="shared" si="3"/>
        <v>-3.1249999999999889E-2</v>
      </c>
      <c r="O246" s="444">
        <f t="shared" si="3"/>
        <v>0</v>
      </c>
      <c r="P246" s="444">
        <f t="shared" si="3"/>
        <v>-7.8740157480314821E-3</v>
      </c>
    </row>
    <row r="247" spans="2:16" x14ac:dyDescent="0.2">
      <c r="B247" s="440" t="s">
        <v>1790</v>
      </c>
      <c r="C247" s="440" t="s">
        <v>1804</v>
      </c>
      <c r="D247" s="440" t="s">
        <v>1805</v>
      </c>
      <c r="E247" s="440">
        <v>32</v>
      </c>
      <c r="F247" s="440">
        <v>0.93</v>
      </c>
      <c r="G247" s="443">
        <v>1</v>
      </c>
      <c r="H247" s="443">
        <v>1.25</v>
      </c>
      <c r="J247" s="440">
        <v>0.96</v>
      </c>
      <c r="K247" s="443">
        <v>1</v>
      </c>
      <c r="L247" s="443">
        <v>1.26</v>
      </c>
      <c r="N247" s="444">
        <f t="shared" si="3"/>
        <v>-3.1249999999999889E-2</v>
      </c>
      <c r="O247" s="444">
        <f t="shared" si="3"/>
        <v>0</v>
      </c>
      <c r="P247" s="444">
        <f t="shared" si="3"/>
        <v>-7.9365079365079083E-3</v>
      </c>
    </row>
    <row r="248" spans="2:16" x14ac:dyDescent="0.2">
      <c r="B248" s="440" t="s">
        <v>1790</v>
      </c>
      <c r="C248" s="440" t="s">
        <v>1804</v>
      </c>
      <c r="D248" s="440" t="s">
        <v>1805</v>
      </c>
      <c r="E248" s="440">
        <v>33</v>
      </c>
      <c r="F248" s="440">
        <v>0.93</v>
      </c>
      <c r="G248" s="443">
        <v>1</v>
      </c>
      <c r="H248" s="443">
        <v>1.24</v>
      </c>
      <c r="J248" s="440">
        <v>0.96</v>
      </c>
      <c r="K248" s="443">
        <v>1</v>
      </c>
      <c r="L248" s="443">
        <v>1.25</v>
      </c>
      <c r="N248" s="444">
        <f t="shared" si="3"/>
        <v>-3.1249999999999889E-2</v>
      </c>
      <c r="O248" s="444">
        <f t="shared" si="3"/>
        <v>0</v>
      </c>
      <c r="P248" s="444">
        <f t="shared" si="3"/>
        <v>-8.0000000000000071E-3</v>
      </c>
    </row>
    <row r="249" spans="2:16" x14ac:dyDescent="0.2">
      <c r="B249" s="440" t="s">
        <v>1790</v>
      </c>
      <c r="C249" s="440" t="s">
        <v>1804</v>
      </c>
      <c r="D249" s="440" t="s">
        <v>1805</v>
      </c>
      <c r="E249" s="440">
        <v>34</v>
      </c>
      <c r="F249" s="440">
        <v>0.93</v>
      </c>
      <c r="G249" s="443">
        <v>1</v>
      </c>
      <c r="H249" s="443">
        <v>1.23</v>
      </c>
      <c r="J249" s="440">
        <v>0.96</v>
      </c>
      <c r="K249" s="443">
        <v>1</v>
      </c>
      <c r="L249" s="443">
        <v>1.24</v>
      </c>
      <c r="N249" s="444">
        <f t="shared" si="3"/>
        <v>-3.1249999999999889E-2</v>
      </c>
      <c r="O249" s="444">
        <f t="shared" si="3"/>
        <v>0</v>
      </c>
      <c r="P249" s="444">
        <f t="shared" si="3"/>
        <v>-8.0645161290322509E-3</v>
      </c>
    </row>
    <row r="250" spans="2:16" x14ac:dyDescent="0.2">
      <c r="B250" s="440" t="s">
        <v>1790</v>
      </c>
      <c r="C250" s="440" t="s">
        <v>1804</v>
      </c>
      <c r="D250" s="440" t="s">
        <v>1805</v>
      </c>
      <c r="E250" s="440">
        <v>35</v>
      </c>
      <c r="F250" s="440">
        <v>0.93</v>
      </c>
      <c r="G250" s="443">
        <v>1</v>
      </c>
      <c r="H250" s="443">
        <v>1.22</v>
      </c>
      <c r="J250" s="440">
        <v>0.96</v>
      </c>
      <c r="K250" s="443">
        <v>1</v>
      </c>
      <c r="L250" s="443">
        <v>1.23</v>
      </c>
      <c r="N250" s="444">
        <f t="shared" si="3"/>
        <v>-3.1249999999999889E-2</v>
      </c>
      <c r="O250" s="444">
        <f t="shared" si="3"/>
        <v>0</v>
      </c>
      <c r="P250" s="444">
        <f t="shared" si="3"/>
        <v>-8.1300813008130524E-3</v>
      </c>
    </row>
    <row r="251" spans="2:16" x14ac:dyDescent="0.2">
      <c r="B251" s="440" t="s">
        <v>1790</v>
      </c>
      <c r="C251" s="440" t="s">
        <v>1804</v>
      </c>
      <c r="D251" s="440" t="s">
        <v>1805</v>
      </c>
      <c r="E251" s="440">
        <v>36</v>
      </c>
      <c r="F251" s="440">
        <v>0.93</v>
      </c>
      <c r="G251" s="443">
        <v>1</v>
      </c>
      <c r="H251" s="443">
        <v>1.21</v>
      </c>
      <c r="J251" s="440">
        <v>0.96</v>
      </c>
      <c r="K251" s="443">
        <v>1</v>
      </c>
      <c r="L251" s="443">
        <v>1.22</v>
      </c>
      <c r="N251" s="444">
        <f t="shared" si="3"/>
        <v>-3.1249999999999889E-2</v>
      </c>
      <c r="O251" s="444">
        <f t="shared" si="3"/>
        <v>0</v>
      </c>
      <c r="P251" s="444">
        <f t="shared" si="3"/>
        <v>-8.1967213114754189E-3</v>
      </c>
    </row>
    <row r="252" spans="2:16" x14ac:dyDescent="0.2">
      <c r="B252" s="440" t="s">
        <v>1790</v>
      </c>
      <c r="C252" s="440" t="s">
        <v>1804</v>
      </c>
      <c r="D252" s="440" t="s">
        <v>1805</v>
      </c>
      <c r="E252" s="440">
        <v>37</v>
      </c>
      <c r="F252" s="440">
        <v>0.93</v>
      </c>
      <c r="G252" s="443">
        <v>1</v>
      </c>
      <c r="H252" s="443">
        <v>1.2</v>
      </c>
      <c r="J252" s="440">
        <v>0.96</v>
      </c>
      <c r="K252" s="443">
        <v>1</v>
      </c>
      <c r="L252" s="443">
        <v>1.21</v>
      </c>
      <c r="N252" s="444">
        <f t="shared" si="3"/>
        <v>-3.1249999999999889E-2</v>
      </c>
      <c r="O252" s="444">
        <f t="shared" si="3"/>
        <v>0</v>
      </c>
      <c r="P252" s="444">
        <f t="shared" si="3"/>
        <v>-8.2644628099173278E-3</v>
      </c>
    </row>
    <row r="253" spans="2:16" x14ac:dyDescent="0.2">
      <c r="B253" s="440" t="s">
        <v>1790</v>
      </c>
      <c r="C253" s="440" t="s">
        <v>1804</v>
      </c>
      <c r="D253" s="440" t="s">
        <v>1805</v>
      </c>
      <c r="E253" s="440">
        <v>38</v>
      </c>
      <c r="F253" s="440">
        <v>0.93</v>
      </c>
      <c r="G253" s="443">
        <v>1</v>
      </c>
      <c r="H253" s="443">
        <v>1.19</v>
      </c>
      <c r="J253" s="440">
        <v>0.96</v>
      </c>
      <c r="K253" s="443">
        <v>1</v>
      </c>
      <c r="L253" s="443">
        <v>1.2</v>
      </c>
      <c r="N253" s="444">
        <f t="shared" si="3"/>
        <v>-3.1249999999999889E-2</v>
      </c>
      <c r="O253" s="444">
        <f t="shared" si="3"/>
        <v>0</v>
      </c>
      <c r="P253" s="444">
        <f t="shared" si="3"/>
        <v>-8.3333333333333037E-3</v>
      </c>
    </row>
    <row r="254" spans="2:16" x14ac:dyDescent="0.2">
      <c r="B254" s="440" t="s">
        <v>1790</v>
      </c>
      <c r="C254" s="440" t="s">
        <v>1804</v>
      </c>
      <c r="D254" s="440" t="s">
        <v>1805</v>
      </c>
      <c r="E254" s="440">
        <v>39</v>
      </c>
      <c r="F254" s="440">
        <v>0.93</v>
      </c>
      <c r="G254" s="443">
        <v>1</v>
      </c>
      <c r="H254" s="443">
        <v>1.18</v>
      </c>
      <c r="J254" s="440">
        <v>0.96</v>
      </c>
      <c r="K254" s="443">
        <v>1</v>
      </c>
      <c r="L254" s="443">
        <v>1.19</v>
      </c>
      <c r="N254" s="444">
        <f t="shared" si="3"/>
        <v>-3.1249999999999889E-2</v>
      </c>
      <c r="O254" s="444">
        <f t="shared" si="3"/>
        <v>0</v>
      </c>
      <c r="P254" s="444">
        <f t="shared" si="3"/>
        <v>-8.4033613445377853E-3</v>
      </c>
    </row>
    <row r="255" spans="2:16" x14ac:dyDescent="0.2">
      <c r="B255" s="440" t="s">
        <v>1790</v>
      </c>
      <c r="C255" s="440" t="s">
        <v>1804</v>
      </c>
      <c r="D255" s="440" t="s">
        <v>1805</v>
      </c>
      <c r="E255" s="440">
        <v>40</v>
      </c>
      <c r="F255" s="440">
        <v>0.93</v>
      </c>
      <c r="G255" s="443">
        <v>1</v>
      </c>
      <c r="H255" s="443">
        <v>1.17</v>
      </c>
      <c r="J255" s="440">
        <v>0.96</v>
      </c>
      <c r="K255" s="443">
        <v>1</v>
      </c>
      <c r="L255" s="443">
        <v>1.18</v>
      </c>
      <c r="N255" s="444">
        <f t="shared" si="3"/>
        <v>-3.1249999999999889E-2</v>
      </c>
      <c r="O255" s="444">
        <f t="shared" si="3"/>
        <v>0</v>
      </c>
      <c r="P255" s="444">
        <f t="shared" si="3"/>
        <v>-8.4745762711864181E-3</v>
      </c>
    </row>
    <row r="256" spans="2:16" x14ac:dyDescent="0.2">
      <c r="B256" s="440" t="s">
        <v>1790</v>
      </c>
      <c r="C256" s="440" t="s">
        <v>1804</v>
      </c>
      <c r="D256" s="440" t="s">
        <v>1805</v>
      </c>
      <c r="E256" s="440">
        <v>41</v>
      </c>
      <c r="F256" s="440">
        <v>0.93</v>
      </c>
      <c r="G256" s="443">
        <v>1</v>
      </c>
      <c r="H256" s="443">
        <v>1.1599999999999999</v>
      </c>
      <c r="J256" s="440">
        <v>0.96</v>
      </c>
      <c r="K256" s="443">
        <v>1</v>
      </c>
      <c r="L256" s="443">
        <v>1.17</v>
      </c>
      <c r="N256" s="444">
        <f t="shared" si="3"/>
        <v>-3.1249999999999889E-2</v>
      </c>
      <c r="O256" s="444">
        <f t="shared" si="3"/>
        <v>0</v>
      </c>
      <c r="P256" s="444">
        <f t="shared" si="3"/>
        <v>-8.5470085470085166E-3</v>
      </c>
    </row>
    <row r="257" spans="2:16" x14ac:dyDescent="0.2">
      <c r="B257" s="440" t="s">
        <v>1790</v>
      </c>
      <c r="C257" s="440" t="s">
        <v>1804</v>
      </c>
      <c r="D257" s="440" t="s">
        <v>1805</v>
      </c>
      <c r="E257" s="440">
        <v>42</v>
      </c>
      <c r="F257" s="440">
        <v>0.93</v>
      </c>
      <c r="G257" s="443">
        <v>1</v>
      </c>
      <c r="H257" s="443">
        <v>1.1499999999999999</v>
      </c>
      <c r="J257" s="440">
        <v>0.96</v>
      </c>
      <c r="K257" s="443">
        <v>1</v>
      </c>
      <c r="L257" s="443">
        <v>1.1599999999999999</v>
      </c>
      <c r="N257" s="444">
        <f t="shared" si="3"/>
        <v>-3.1249999999999889E-2</v>
      </c>
      <c r="O257" s="444">
        <f t="shared" si="3"/>
        <v>0</v>
      </c>
      <c r="P257" s="444">
        <f t="shared" si="3"/>
        <v>-8.6206896551723755E-3</v>
      </c>
    </row>
    <row r="258" spans="2:16" x14ac:dyDescent="0.2">
      <c r="B258" s="440" t="s">
        <v>1790</v>
      </c>
      <c r="C258" s="440" t="s">
        <v>1804</v>
      </c>
      <c r="D258" s="440" t="s">
        <v>1805</v>
      </c>
      <c r="E258" s="440">
        <v>43</v>
      </c>
      <c r="F258" s="440">
        <v>0.93</v>
      </c>
      <c r="G258" s="443">
        <v>1</v>
      </c>
      <c r="H258" s="443">
        <v>1.1399999999999999</v>
      </c>
      <c r="J258" s="440">
        <v>0.96</v>
      </c>
      <c r="K258" s="443">
        <v>1</v>
      </c>
      <c r="L258" s="443">
        <v>1.1499999999999999</v>
      </c>
      <c r="N258" s="444">
        <f t="shared" si="3"/>
        <v>-3.1249999999999889E-2</v>
      </c>
      <c r="O258" s="444">
        <f t="shared" si="3"/>
        <v>0</v>
      </c>
      <c r="P258" s="444">
        <f t="shared" si="3"/>
        <v>-8.6956521739131043E-3</v>
      </c>
    </row>
    <row r="259" spans="2:16" x14ac:dyDescent="0.2">
      <c r="B259" s="440" t="s">
        <v>1790</v>
      </c>
      <c r="C259" s="440" t="s">
        <v>1804</v>
      </c>
      <c r="D259" s="440" t="s">
        <v>1805</v>
      </c>
      <c r="E259" s="440">
        <v>44</v>
      </c>
      <c r="F259" s="440">
        <v>0.93</v>
      </c>
      <c r="G259" s="443">
        <v>1</v>
      </c>
      <c r="H259" s="443">
        <v>1.1299999999999999</v>
      </c>
      <c r="J259" s="440">
        <v>0.96</v>
      </c>
      <c r="K259" s="443">
        <v>1</v>
      </c>
      <c r="L259" s="443">
        <v>1.1399999999999999</v>
      </c>
      <c r="N259" s="444">
        <f t="shared" si="3"/>
        <v>-3.1249999999999889E-2</v>
      </c>
      <c r="O259" s="444">
        <f t="shared" si="3"/>
        <v>0</v>
      </c>
      <c r="P259" s="444">
        <f t="shared" si="3"/>
        <v>-8.7719298245614308E-3</v>
      </c>
    </row>
    <row r="260" spans="2:16" x14ac:dyDescent="0.2">
      <c r="B260" s="440" t="s">
        <v>1790</v>
      </c>
      <c r="C260" s="440" t="s">
        <v>1804</v>
      </c>
      <c r="D260" s="440" t="s">
        <v>1805</v>
      </c>
      <c r="E260" s="440">
        <v>45</v>
      </c>
      <c r="F260" s="440">
        <v>0.93</v>
      </c>
      <c r="G260" s="443">
        <v>1</v>
      </c>
      <c r="H260" s="443">
        <v>1.1200000000000001</v>
      </c>
      <c r="J260" s="440">
        <v>0.96</v>
      </c>
      <c r="K260" s="443">
        <v>1</v>
      </c>
      <c r="L260" s="443">
        <v>1.1299999999999999</v>
      </c>
      <c r="N260" s="444">
        <f t="shared" si="3"/>
        <v>-3.1249999999999889E-2</v>
      </c>
      <c r="O260" s="444">
        <f t="shared" si="3"/>
        <v>0</v>
      </c>
      <c r="P260" s="444">
        <f t="shared" si="3"/>
        <v>-8.8495575221236855E-3</v>
      </c>
    </row>
    <row r="261" spans="2:16" x14ac:dyDescent="0.2">
      <c r="B261" s="440" t="s">
        <v>1790</v>
      </c>
      <c r="C261" s="440" t="s">
        <v>1804</v>
      </c>
      <c r="D261" s="440" t="s">
        <v>1805</v>
      </c>
      <c r="E261" s="440">
        <v>46</v>
      </c>
      <c r="F261" s="440">
        <v>0.93</v>
      </c>
      <c r="G261" s="443">
        <v>1</v>
      </c>
      <c r="H261" s="443">
        <v>1.1100000000000001</v>
      </c>
      <c r="J261" s="440">
        <v>0.96</v>
      </c>
      <c r="K261" s="443">
        <v>1</v>
      </c>
      <c r="L261" s="443">
        <v>1.1200000000000001</v>
      </c>
      <c r="N261" s="444">
        <f t="shared" si="3"/>
        <v>-3.1249999999999889E-2</v>
      </c>
      <c r="O261" s="444">
        <f t="shared" si="3"/>
        <v>0</v>
      </c>
      <c r="P261" s="444">
        <f t="shared" si="3"/>
        <v>-8.9285714285713969E-3</v>
      </c>
    </row>
    <row r="262" spans="2:16" x14ac:dyDescent="0.2">
      <c r="B262" s="440" t="s">
        <v>1790</v>
      </c>
      <c r="C262" s="440" t="s">
        <v>1804</v>
      </c>
      <c r="D262" s="440" t="s">
        <v>1805</v>
      </c>
      <c r="E262" s="440">
        <v>47</v>
      </c>
      <c r="F262" s="440">
        <v>0.93</v>
      </c>
      <c r="G262" s="443">
        <v>1</v>
      </c>
      <c r="H262" s="443">
        <v>1.1000000000000001</v>
      </c>
      <c r="J262" s="440">
        <v>0.96</v>
      </c>
      <c r="K262" s="443">
        <v>1</v>
      </c>
      <c r="L262" s="443">
        <v>1.1100000000000001</v>
      </c>
      <c r="N262" s="444">
        <f t="shared" si="3"/>
        <v>-3.1249999999999889E-2</v>
      </c>
      <c r="O262" s="444">
        <f t="shared" si="3"/>
        <v>0</v>
      </c>
      <c r="P262" s="444">
        <f t="shared" si="3"/>
        <v>-9.009009009009028E-3</v>
      </c>
    </row>
    <row r="263" spans="2:16" x14ac:dyDescent="0.2">
      <c r="B263" s="440" t="s">
        <v>1790</v>
      </c>
      <c r="C263" s="440" t="s">
        <v>1804</v>
      </c>
      <c r="D263" s="440" t="s">
        <v>1805</v>
      </c>
      <c r="E263" s="440">
        <v>48</v>
      </c>
      <c r="F263" s="440">
        <v>0.93</v>
      </c>
      <c r="G263" s="443">
        <v>1</v>
      </c>
      <c r="H263" s="443">
        <v>1.0900000000000001</v>
      </c>
      <c r="J263" s="440">
        <v>0.96</v>
      </c>
      <c r="K263" s="443">
        <v>1</v>
      </c>
      <c r="L263" s="443">
        <v>1.1000000000000001</v>
      </c>
      <c r="N263" s="444">
        <f t="shared" si="3"/>
        <v>-3.1249999999999889E-2</v>
      </c>
      <c r="O263" s="444">
        <f t="shared" si="3"/>
        <v>0</v>
      </c>
      <c r="P263" s="444">
        <f t="shared" si="3"/>
        <v>-9.0909090909091494E-3</v>
      </c>
    </row>
    <row r="264" spans="2:16" x14ac:dyDescent="0.2">
      <c r="B264" s="440" t="s">
        <v>1790</v>
      </c>
      <c r="C264" s="440" t="s">
        <v>1804</v>
      </c>
      <c r="D264" s="440" t="s">
        <v>1805</v>
      </c>
      <c r="E264" s="440">
        <v>49</v>
      </c>
      <c r="F264" s="440">
        <v>0.93</v>
      </c>
      <c r="G264" s="443">
        <v>1</v>
      </c>
      <c r="H264" s="443">
        <v>1.0900000000000001</v>
      </c>
      <c r="J264" s="440">
        <v>0.96</v>
      </c>
      <c r="K264" s="443">
        <v>1</v>
      </c>
      <c r="L264" s="443">
        <v>1.1000000000000001</v>
      </c>
      <c r="N264" s="444">
        <f t="shared" si="3"/>
        <v>-3.1249999999999889E-2</v>
      </c>
      <c r="O264" s="444">
        <f t="shared" si="3"/>
        <v>0</v>
      </c>
      <c r="P264" s="444">
        <f t="shared" si="3"/>
        <v>-9.0909090909091494E-3</v>
      </c>
    </row>
    <row r="265" spans="2:16" x14ac:dyDescent="0.2">
      <c r="B265" s="440" t="s">
        <v>1790</v>
      </c>
      <c r="C265" s="440" t="s">
        <v>1804</v>
      </c>
      <c r="D265" s="440" t="s">
        <v>1805</v>
      </c>
      <c r="E265" s="440">
        <v>50</v>
      </c>
      <c r="F265" s="440">
        <v>0.93</v>
      </c>
      <c r="G265" s="443">
        <v>1</v>
      </c>
      <c r="H265" s="443">
        <v>1.08</v>
      </c>
      <c r="J265" s="440">
        <v>0.96</v>
      </c>
      <c r="K265" s="443">
        <v>1</v>
      </c>
      <c r="L265" s="443">
        <v>1.0900000000000001</v>
      </c>
      <c r="N265" s="444">
        <f t="shared" si="3"/>
        <v>-3.1249999999999889E-2</v>
      </c>
      <c r="O265" s="444">
        <f t="shared" si="3"/>
        <v>0</v>
      </c>
      <c r="P265" s="444">
        <f t="shared" si="3"/>
        <v>-9.1743119266055606E-3</v>
      </c>
    </row>
    <row r="266" spans="2:16" x14ac:dyDescent="0.2">
      <c r="B266" s="440" t="s">
        <v>1790</v>
      </c>
      <c r="C266" s="440" t="s">
        <v>1804</v>
      </c>
      <c r="D266" s="440" t="s">
        <v>1805</v>
      </c>
      <c r="E266" s="440">
        <v>51</v>
      </c>
      <c r="F266" s="440">
        <v>0.93</v>
      </c>
      <c r="G266" s="443">
        <v>1</v>
      </c>
      <c r="H266" s="443">
        <v>1.08</v>
      </c>
      <c r="J266" s="440">
        <v>0.96</v>
      </c>
      <c r="K266" s="443">
        <v>1</v>
      </c>
      <c r="L266" s="443">
        <v>1.0900000000000001</v>
      </c>
      <c r="N266" s="444">
        <f t="shared" si="3"/>
        <v>-3.1249999999999889E-2</v>
      </c>
      <c r="O266" s="444">
        <f t="shared" si="3"/>
        <v>0</v>
      </c>
      <c r="P266" s="444">
        <f t="shared" si="3"/>
        <v>-9.1743119266055606E-3</v>
      </c>
    </row>
    <row r="267" spans="2:16" x14ac:dyDescent="0.2">
      <c r="B267" s="440" t="s">
        <v>1790</v>
      </c>
      <c r="C267" s="440" t="s">
        <v>1804</v>
      </c>
      <c r="D267" s="440" t="s">
        <v>1805</v>
      </c>
      <c r="E267" s="440">
        <v>52</v>
      </c>
      <c r="F267" s="440">
        <v>0.93</v>
      </c>
      <c r="G267" s="443">
        <v>1</v>
      </c>
      <c r="H267" s="443">
        <v>1.07</v>
      </c>
      <c r="J267" s="440">
        <v>0.96</v>
      </c>
      <c r="K267" s="443">
        <v>1</v>
      </c>
      <c r="L267" s="443">
        <v>1.08</v>
      </c>
      <c r="N267" s="444">
        <f t="shared" si="3"/>
        <v>-3.1249999999999889E-2</v>
      </c>
      <c r="O267" s="444">
        <f t="shared" si="3"/>
        <v>0</v>
      </c>
      <c r="P267" s="444">
        <f t="shared" si="3"/>
        <v>-9.2592592592593004E-3</v>
      </c>
    </row>
    <row r="268" spans="2:16" x14ac:dyDescent="0.2">
      <c r="B268" s="440" t="s">
        <v>1790</v>
      </c>
      <c r="C268" s="440" t="s">
        <v>1804</v>
      </c>
      <c r="D268" s="440" t="s">
        <v>1805</v>
      </c>
      <c r="E268" s="440">
        <v>53</v>
      </c>
      <c r="F268" s="440">
        <v>0.93</v>
      </c>
      <c r="G268" s="443">
        <v>1</v>
      </c>
      <c r="H268" s="443">
        <v>1.07</v>
      </c>
      <c r="J268" s="440">
        <v>0.96</v>
      </c>
      <c r="K268" s="443">
        <v>1</v>
      </c>
      <c r="L268" s="443">
        <v>1.08</v>
      </c>
      <c r="N268" s="444">
        <f t="shared" si="3"/>
        <v>-3.1249999999999889E-2</v>
      </c>
      <c r="O268" s="444">
        <f t="shared" si="3"/>
        <v>0</v>
      </c>
      <c r="P268" s="444">
        <f t="shared" si="3"/>
        <v>-9.2592592592593004E-3</v>
      </c>
    </row>
    <row r="269" spans="2:16" x14ac:dyDescent="0.2">
      <c r="B269" s="440" t="s">
        <v>1790</v>
      </c>
      <c r="C269" s="440" t="s">
        <v>1804</v>
      </c>
      <c r="D269" s="440" t="s">
        <v>1805</v>
      </c>
      <c r="E269" s="440">
        <v>54</v>
      </c>
      <c r="F269" s="440">
        <v>0.93</v>
      </c>
      <c r="G269" s="443">
        <v>1</v>
      </c>
      <c r="H269" s="443">
        <v>1.06</v>
      </c>
      <c r="J269" s="440">
        <v>0.96</v>
      </c>
      <c r="K269" s="443">
        <v>1</v>
      </c>
      <c r="L269" s="443">
        <v>1.07</v>
      </c>
      <c r="N269" s="444">
        <f t="shared" ref="N269:P332" si="4">F269/J269-1</f>
        <v>-3.1249999999999889E-2</v>
      </c>
      <c r="O269" s="444">
        <f t="shared" si="4"/>
        <v>0</v>
      </c>
      <c r="P269" s="444">
        <f t="shared" si="4"/>
        <v>-9.3457943925233655E-3</v>
      </c>
    </row>
    <row r="270" spans="2:16" x14ac:dyDescent="0.2">
      <c r="B270" s="440" t="s">
        <v>1790</v>
      </c>
      <c r="C270" s="440" t="s">
        <v>1804</v>
      </c>
      <c r="D270" s="440" t="s">
        <v>1805</v>
      </c>
      <c r="E270" s="440">
        <v>55</v>
      </c>
      <c r="F270" s="440">
        <v>0.93</v>
      </c>
      <c r="G270" s="443">
        <v>1</v>
      </c>
      <c r="H270" s="443">
        <v>1.06</v>
      </c>
      <c r="J270" s="440">
        <v>0.96</v>
      </c>
      <c r="K270" s="443">
        <v>1</v>
      </c>
      <c r="L270" s="443">
        <v>1.07</v>
      </c>
      <c r="N270" s="444">
        <f t="shared" si="4"/>
        <v>-3.1249999999999889E-2</v>
      </c>
      <c r="O270" s="444">
        <f t="shared" si="4"/>
        <v>0</v>
      </c>
      <c r="P270" s="444">
        <f t="shared" si="4"/>
        <v>-9.3457943925233655E-3</v>
      </c>
    </row>
    <row r="271" spans="2:16" x14ac:dyDescent="0.2">
      <c r="B271" s="440" t="s">
        <v>1790</v>
      </c>
      <c r="C271" s="440" t="s">
        <v>1804</v>
      </c>
      <c r="D271" s="440" t="s">
        <v>1805</v>
      </c>
      <c r="E271" s="440">
        <v>56</v>
      </c>
      <c r="F271" s="440">
        <v>0.93</v>
      </c>
      <c r="G271" s="443">
        <v>1</v>
      </c>
      <c r="H271" s="443">
        <v>1.05</v>
      </c>
      <c r="J271" s="440">
        <v>0.96</v>
      </c>
      <c r="K271" s="443">
        <v>1</v>
      </c>
      <c r="L271" s="443">
        <v>1.06</v>
      </c>
      <c r="N271" s="444">
        <f t="shared" si="4"/>
        <v>-3.1249999999999889E-2</v>
      </c>
      <c r="O271" s="444">
        <f t="shared" si="4"/>
        <v>0</v>
      </c>
      <c r="P271" s="444">
        <f t="shared" si="4"/>
        <v>-9.4339622641509413E-3</v>
      </c>
    </row>
    <row r="272" spans="2:16" x14ac:dyDescent="0.2">
      <c r="B272" s="440" t="s">
        <v>1790</v>
      </c>
      <c r="C272" s="440" t="s">
        <v>1804</v>
      </c>
      <c r="D272" s="440" t="s">
        <v>1805</v>
      </c>
      <c r="E272" s="440">
        <v>57</v>
      </c>
      <c r="F272" s="440">
        <v>0.93</v>
      </c>
      <c r="G272" s="443">
        <v>1</v>
      </c>
      <c r="H272" s="443">
        <v>1.05</v>
      </c>
      <c r="J272" s="440">
        <v>0.96</v>
      </c>
      <c r="K272" s="443">
        <v>1</v>
      </c>
      <c r="L272" s="443">
        <v>1.06</v>
      </c>
      <c r="N272" s="444">
        <f t="shared" si="4"/>
        <v>-3.1249999999999889E-2</v>
      </c>
      <c r="O272" s="444">
        <f t="shared" si="4"/>
        <v>0</v>
      </c>
      <c r="P272" s="444">
        <f t="shared" si="4"/>
        <v>-9.4339622641509413E-3</v>
      </c>
    </row>
    <row r="273" spans="2:16" x14ac:dyDescent="0.2">
      <c r="B273" s="440" t="s">
        <v>1790</v>
      </c>
      <c r="C273" s="440" t="s">
        <v>1804</v>
      </c>
      <c r="D273" s="440" t="s">
        <v>1805</v>
      </c>
      <c r="E273" s="440">
        <v>58</v>
      </c>
      <c r="F273" s="440">
        <v>0.93</v>
      </c>
      <c r="G273" s="443">
        <v>1</v>
      </c>
      <c r="H273" s="443">
        <v>1.05</v>
      </c>
      <c r="J273" s="440">
        <v>0.96</v>
      </c>
      <c r="K273" s="443">
        <v>1</v>
      </c>
      <c r="L273" s="443">
        <v>1.05</v>
      </c>
      <c r="N273" s="444">
        <f t="shared" si="4"/>
        <v>-3.1249999999999889E-2</v>
      </c>
      <c r="O273" s="444">
        <f t="shared" si="4"/>
        <v>0</v>
      </c>
      <c r="P273" s="444">
        <f t="shared" si="4"/>
        <v>0</v>
      </c>
    </row>
    <row r="274" spans="2:16" x14ac:dyDescent="0.2">
      <c r="B274" s="440" t="s">
        <v>1790</v>
      </c>
      <c r="C274" s="440" t="s">
        <v>1804</v>
      </c>
      <c r="D274" s="440" t="s">
        <v>1805</v>
      </c>
      <c r="E274" s="440">
        <v>59</v>
      </c>
      <c r="F274" s="440">
        <v>0.93</v>
      </c>
      <c r="G274" s="443">
        <v>1</v>
      </c>
      <c r="H274" s="443">
        <v>1.04</v>
      </c>
      <c r="J274" s="440">
        <v>0.96</v>
      </c>
      <c r="K274" s="443">
        <v>1</v>
      </c>
      <c r="L274" s="443">
        <v>1.05</v>
      </c>
      <c r="N274" s="444">
        <f t="shared" si="4"/>
        <v>-3.1249999999999889E-2</v>
      </c>
      <c r="O274" s="444">
        <f t="shared" si="4"/>
        <v>0</v>
      </c>
      <c r="P274" s="444">
        <f t="shared" si="4"/>
        <v>-9.52380952380949E-3</v>
      </c>
    </row>
    <row r="275" spans="2:16" x14ac:dyDescent="0.2">
      <c r="B275" s="440" t="s">
        <v>1790</v>
      </c>
      <c r="C275" s="440" t="s">
        <v>1804</v>
      </c>
      <c r="D275" s="440" t="s">
        <v>1805</v>
      </c>
      <c r="E275" s="440">
        <v>60</v>
      </c>
      <c r="F275" s="440">
        <v>0.93</v>
      </c>
      <c r="G275" s="443">
        <v>1</v>
      </c>
      <c r="H275" s="443">
        <v>1.04</v>
      </c>
      <c r="J275" s="440">
        <v>0.96</v>
      </c>
      <c r="K275" s="443">
        <v>1</v>
      </c>
      <c r="L275" s="443">
        <v>1.05</v>
      </c>
      <c r="N275" s="444">
        <f t="shared" si="4"/>
        <v>-3.1249999999999889E-2</v>
      </c>
      <c r="O275" s="444">
        <f t="shared" si="4"/>
        <v>0</v>
      </c>
      <c r="P275" s="444">
        <f t="shared" si="4"/>
        <v>-9.52380952380949E-3</v>
      </c>
    </row>
    <row r="276" spans="2:16" x14ac:dyDescent="0.2">
      <c r="B276" s="440" t="s">
        <v>1790</v>
      </c>
      <c r="C276" s="440" t="s">
        <v>1804</v>
      </c>
      <c r="D276" s="440" t="s">
        <v>1805</v>
      </c>
      <c r="E276" s="440">
        <v>61</v>
      </c>
      <c r="F276" s="440">
        <v>0.93</v>
      </c>
      <c r="G276" s="443">
        <v>1</v>
      </c>
      <c r="H276" s="443">
        <v>1.04</v>
      </c>
      <c r="J276" s="440">
        <v>0.96</v>
      </c>
      <c r="K276" s="443">
        <v>1</v>
      </c>
      <c r="L276" s="443">
        <v>1.04</v>
      </c>
      <c r="N276" s="444">
        <f t="shared" si="4"/>
        <v>-3.1249999999999889E-2</v>
      </c>
      <c r="O276" s="444">
        <f t="shared" si="4"/>
        <v>0</v>
      </c>
      <c r="P276" s="444">
        <f t="shared" si="4"/>
        <v>0</v>
      </c>
    </row>
    <row r="277" spans="2:16" x14ac:dyDescent="0.2">
      <c r="B277" s="440" t="s">
        <v>1790</v>
      </c>
      <c r="C277" s="440" t="s">
        <v>1804</v>
      </c>
      <c r="D277" s="440" t="s">
        <v>1805</v>
      </c>
      <c r="E277" s="440">
        <v>62</v>
      </c>
      <c r="F277" s="440">
        <v>0.93</v>
      </c>
      <c r="G277" s="443">
        <v>1</v>
      </c>
      <c r="H277" s="443">
        <v>1.03</v>
      </c>
      <c r="J277" s="440">
        <v>0.96</v>
      </c>
      <c r="K277" s="443">
        <v>1</v>
      </c>
      <c r="L277" s="443">
        <v>1.04</v>
      </c>
      <c r="N277" s="444">
        <f t="shared" si="4"/>
        <v>-3.1249999999999889E-2</v>
      </c>
      <c r="O277" s="444">
        <f t="shared" si="4"/>
        <v>0</v>
      </c>
      <c r="P277" s="444">
        <f t="shared" si="4"/>
        <v>-9.6153846153845812E-3</v>
      </c>
    </row>
    <row r="278" spans="2:16" x14ac:dyDescent="0.2">
      <c r="B278" s="440" t="s">
        <v>1790</v>
      </c>
      <c r="C278" s="440" t="s">
        <v>1804</v>
      </c>
      <c r="D278" s="440" t="s">
        <v>1805</v>
      </c>
      <c r="E278" s="440">
        <v>63</v>
      </c>
      <c r="F278" s="440">
        <v>0.93</v>
      </c>
      <c r="G278" s="443">
        <v>1</v>
      </c>
      <c r="H278" s="443">
        <v>1.03</v>
      </c>
      <c r="J278" s="440">
        <v>0.96</v>
      </c>
      <c r="K278" s="443">
        <v>1</v>
      </c>
      <c r="L278" s="443">
        <v>1.04</v>
      </c>
      <c r="N278" s="444">
        <f t="shared" si="4"/>
        <v>-3.1249999999999889E-2</v>
      </c>
      <c r="O278" s="444">
        <f t="shared" si="4"/>
        <v>0</v>
      </c>
      <c r="P278" s="444">
        <f t="shared" si="4"/>
        <v>-9.6153846153845812E-3</v>
      </c>
    </row>
    <row r="279" spans="2:16" x14ac:dyDescent="0.2">
      <c r="B279" s="440" t="s">
        <v>1790</v>
      </c>
      <c r="C279" s="440" t="s">
        <v>1804</v>
      </c>
      <c r="D279" s="440" t="s">
        <v>1805</v>
      </c>
      <c r="E279" s="440">
        <v>64</v>
      </c>
      <c r="F279" s="440">
        <v>0.93</v>
      </c>
      <c r="G279" s="443">
        <v>1</v>
      </c>
      <c r="H279" s="443">
        <v>1.03</v>
      </c>
      <c r="J279" s="440">
        <v>0.96</v>
      </c>
      <c r="K279" s="443">
        <v>1</v>
      </c>
      <c r="L279" s="443">
        <v>1.03</v>
      </c>
      <c r="N279" s="444">
        <f t="shared" si="4"/>
        <v>-3.1249999999999889E-2</v>
      </c>
      <c r="O279" s="444">
        <f t="shared" si="4"/>
        <v>0</v>
      </c>
      <c r="P279" s="444">
        <f t="shared" si="4"/>
        <v>0</v>
      </c>
    </row>
    <row r="280" spans="2:16" x14ac:dyDescent="0.2">
      <c r="B280" s="440" t="s">
        <v>1790</v>
      </c>
      <c r="C280" s="440" t="s">
        <v>1804</v>
      </c>
      <c r="D280" s="440" t="s">
        <v>1805</v>
      </c>
      <c r="E280" s="440">
        <v>65</v>
      </c>
      <c r="F280" s="440">
        <v>0.93</v>
      </c>
      <c r="G280" s="443">
        <v>1</v>
      </c>
      <c r="H280" s="443">
        <v>1.02</v>
      </c>
      <c r="J280" s="440">
        <v>0.96</v>
      </c>
      <c r="K280" s="443">
        <v>1</v>
      </c>
      <c r="L280" s="443">
        <v>1.03</v>
      </c>
      <c r="N280" s="444">
        <f t="shared" si="4"/>
        <v>-3.1249999999999889E-2</v>
      </c>
      <c r="O280" s="444">
        <f t="shared" si="4"/>
        <v>0</v>
      </c>
      <c r="P280" s="444">
        <f t="shared" si="4"/>
        <v>-9.7087378640776656E-3</v>
      </c>
    </row>
    <row r="281" spans="2:16" x14ac:dyDescent="0.2">
      <c r="B281" s="440" t="s">
        <v>1790</v>
      </c>
      <c r="C281" s="440" t="s">
        <v>1804</v>
      </c>
      <c r="D281" s="440" t="s">
        <v>1805</v>
      </c>
      <c r="E281" s="440">
        <v>66</v>
      </c>
      <c r="F281" s="440">
        <v>0.93</v>
      </c>
      <c r="G281" s="443">
        <v>1</v>
      </c>
      <c r="H281" s="443">
        <v>1.02</v>
      </c>
      <c r="J281" s="440">
        <v>0.96</v>
      </c>
      <c r="K281" s="443">
        <v>1</v>
      </c>
      <c r="L281" s="443">
        <v>1.03</v>
      </c>
      <c r="N281" s="444">
        <f t="shared" si="4"/>
        <v>-3.1249999999999889E-2</v>
      </c>
      <c r="O281" s="444">
        <f t="shared" si="4"/>
        <v>0</v>
      </c>
      <c r="P281" s="444">
        <f t="shared" si="4"/>
        <v>-9.7087378640776656E-3</v>
      </c>
    </row>
    <row r="282" spans="2:16" x14ac:dyDescent="0.2">
      <c r="B282" s="440" t="s">
        <v>1790</v>
      </c>
      <c r="C282" s="440" t="s">
        <v>1804</v>
      </c>
      <c r="D282" s="440" t="s">
        <v>1805</v>
      </c>
      <c r="E282" s="440">
        <v>67</v>
      </c>
      <c r="F282" s="440">
        <v>0.93</v>
      </c>
      <c r="G282" s="443">
        <v>1</v>
      </c>
      <c r="H282" s="443">
        <v>1.02</v>
      </c>
      <c r="J282" s="440">
        <v>0.96</v>
      </c>
      <c r="K282" s="443">
        <v>1</v>
      </c>
      <c r="L282" s="443">
        <v>1.02</v>
      </c>
      <c r="N282" s="444">
        <f t="shared" si="4"/>
        <v>-3.1249999999999889E-2</v>
      </c>
      <c r="O282" s="444">
        <f t="shared" si="4"/>
        <v>0</v>
      </c>
      <c r="P282" s="444">
        <f t="shared" si="4"/>
        <v>0</v>
      </c>
    </row>
    <row r="283" spans="2:16" x14ac:dyDescent="0.2">
      <c r="B283" s="440" t="s">
        <v>1790</v>
      </c>
      <c r="C283" s="440" t="s">
        <v>1804</v>
      </c>
      <c r="D283" s="440" t="s">
        <v>1805</v>
      </c>
      <c r="E283" s="440">
        <v>68</v>
      </c>
      <c r="F283" s="440">
        <v>0.93</v>
      </c>
      <c r="G283" s="443">
        <v>1</v>
      </c>
      <c r="H283" s="443">
        <v>1.02</v>
      </c>
      <c r="J283" s="440">
        <v>0.96</v>
      </c>
      <c r="K283" s="443">
        <v>1</v>
      </c>
      <c r="L283" s="443">
        <v>1.02</v>
      </c>
      <c r="N283" s="444">
        <f t="shared" si="4"/>
        <v>-3.1249999999999889E-2</v>
      </c>
      <c r="O283" s="444">
        <f t="shared" si="4"/>
        <v>0</v>
      </c>
      <c r="P283" s="444">
        <f t="shared" si="4"/>
        <v>0</v>
      </c>
    </row>
    <row r="284" spans="2:16" x14ac:dyDescent="0.2">
      <c r="B284" s="440" t="s">
        <v>1790</v>
      </c>
      <c r="C284" s="440" t="s">
        <v>1804</v>
      </c>
      <c r="D284" s="440" t="s">
        <v>1805</v>
      </c>
      <c r="E284" s="440">
        <v>69</v>
      </c>
      <c r="F284" s="440">
        <v>0.93</v>
      </c>
      <c r="G284" s="443">
        <v>1</v>
      </c>
      <c r="H284" s="443">
        <v>1.01</v>
      </c>
      <c r="J284" s="440">
        <v>0.96</v>
      </c>
      <c r="K284" s="443">
        <v>1</v>
      </c>
      <c r="L284" s="443">
        <v>1.02</v>
      </c>
      <c r="N284" s="444">
        <f t="shared" si="4"/>
        <v>-3.1249999999999889E-2</v>
      </c>
      <c r="O284" s="444">
        <f t="shared" si="4"/>
        <v>0</v>
      </c>
      <c r="P284" s="444">
        <f t="shared" si="4"/>
        <v>-9.8039215686274161E-3</v>
      </c>
    </row>
    <row r="285" spans="2:16" x14ac:dyDescent="0.2">
      <c r="B285" s="440" t="s">
        <v>1790</v>
      </c>
      <c r="C285" s="440" t="s">
        <v>1804</v>
      </c>
      <c r="D285" s="440" t="s">
        <v>1805</v>
      </c>
      <c r="E285" s="440">
        <v>70</v>
      </c>
      <c r="F285" s="440">
        <v>0.93</v>
      </c>
      <c r="G285" s="443">
        <v>1</v>
      </c>
      <c r="H285" s="443">
        <v>1.01</v>
      </c>
      <c r="J285" s="440">
        <v>0.96</v>
      </c>
      <c r="K285" s="443">
        <v>1</v>
      </c>
      <c r="L285" s="443">
        <v>1.01</v>
      </c>
      <c r="N285" s="444">
        <f t="shared" si="4"/>
        <v>-3.1249999999999889E-2</v>
      </c>
      <c r="O285" s="444">
        <f t="shared" si="4"/>
        <v>0</v>
      </c>
      <c r="P285" s="444">
        <f t="shared" si="4"/>
        <v>0</v>
      </c>
    </row>
    <row r="286" spans="2:16" x14ac:dyDescent="0.2">
      <c r="B286" s="440" t="s">
        <v>1790</v>
      </c>
      <c r="C286" s="440" t="s">
        <v>1804</v>
      </c>
      <c r="D286" s="440" t="s">
        <v>1805</v>
      </c>
      <c r="E286" s="440">
        <v>71</v>
      </c>
      <c r="F286" s="440">
        <v>0.93</v>
      </c>
      <c r="G286" s="443">
        <v>1</v>
      </c>
      <c r="H286" s="443">
        <v>1.01</v>
      </c>
      <c r="J286" s="440">
        <v>0.96</v>
      </c>
      <c r="K286" s="443">
        <v>1</v>
      </c>
      <c r="L286" s="443">
        <v>1.01</v>
      </c>
      <c r="N286" s="444">
        <f t="shared" si="4"/>
        <v>-3.1249999999999889E-2</v>
      </c>
      <c r="O286" s="444">
        <f t="shared" si="4"/>
        <v>0</v>
      </c>
      <c r="P286" s="444">
        <f t="shared" si="4"/>
        <v>0</v>
      </c>
    </row>
    <row r="287" spans="2:16" x14ac:dyDescent="0.2">
      <c r="B287" s="440" t="s">
        <v>1790</v>
      </c>
      <c r="C287" s="440" t="s">
        <v>1804</v>
      </c>
      <c r="D287" s="440" t="s">
        <v>1805</v>
      </c>
      <c r="E287" s="440">
        <v>72</v>
      </c>
      <c r="F287" s="440">
        <v>0.93</v>
      </c>
      <c r="G287" s="443">
        <v>1</v>
      </c>
      <c r="H287" s="443">
        <v>1.01</v>
      </c>
      <c r="J287" s="440">
        <v>0.96</v>
      </c>
      <c r="K287" s="443">
        <v>1</v>
      </c>
      <c r="L287" s="443">
        <v>1.01</v>
      </c>
      <c r="N287" s="444">
        <f t="shared" si="4"/>
        <v>-3.1249999999999889E-2</v>
      </c>
      <c r="O287" s="444">
        <f t="shared" si="4"/>
        <v>0</v>
      </c>
      <c r="P287" s="444">
        <f t="shared" si="4"/>
        <v>0</v>
      </c>
    </row>
    <row r="288" spans="2:16" x14ac:dyDescent="0.2">
      <c r="B288" s="440" t="s">
        <v>1790</v>
      </c>
      <c r="C288" s="440" t="s">
        <v>1804</v>
      </c>
      <c r="D288" s="440" t="s">
        <v>1805</v>
      </c>
      <c r="E288" s="440">
        <v>73</v>
      </c>
      <c r="F288" s="440">
        <v>0.93</v>
      </c>
      <c r="G288" s="443">
        <v>1</v>
      </c>
      <c r="H288" s="443">
        <v>1.01</v>
      </c>
      <c r="J288" s="440">
        <v>0.96</v>
      </c>
      <c r="K288" s="443">
        <v>1</v>
      </c>
      <c r="L288" s="443">
        <v>1.01</v>
      </c>
      <c r="N288" s="444">
        <f t="shared" si="4"/>
        <v>-3.1249999999999889E-2</v>
      </c>
      <c r="O288" s="444">
        <f t="shared" si="4"/>
        <v>0</v>
      </c>
      <c r="P288" s="444">
        <f t="shared" si="4"/>
        <v>0</v>
      </c>
    </row>
    <row r="289" spans="2:16" x14ac:dyDescent="0.2">
      <c r="B289" s="440" t="s">
        <v>1790</v>
      </c>
      <c r="C289" s="440" t="s">
        <v>1804</v>
      </c>
      <c r="D289" s="440" t="s">
        <v>1805</v>
      </c>
      <c r="E289" s="440">
        <v>74</v>
      </c>
      <c r="F289" s="440">
        <v>0.93</v>
      </c>
      <c r="G289" s="443">
        <v>1</v>
      </c>
      <c r="H289" s="443">
        <v>1</v>
      </c>
      <c r="J289" s="440">
        <v>0.96</v>
      </c>
      <c r="K289" s="443">
        <v>1</v>
      </c>
      <c r="L289" s="443">
        <v>1.01</v>
      </c>
      <c r="N289" s="444">
        <f t="shared" si="4"/>
        <v>-3.1249999999999889E-2</v>
      </c>
      <c r="O289" s="444">
        <f t="shared" si="4"/>
        <v>0</v>
      </c>
      <c r="P289" s="444">
        <f t="shared" si="4"/>
        <v>-9.9009900990099098E-3</v>
      </c>
    </row>
    <row r="290" spans="2:16" x14ac:dyDescent="0.2">
      <c r="B290" s="440" t="s">
        <v>1790</v>
      </c>
      <c r="C290" s="440" t="s">
        <v>1804</v>
      </c>
      <c r="D290" s="440" t="s">
        <v>1805</v>
      </c>
      <c r="E290" s="440">
        <v>75</v>
      </c>
      <c r="F290" s="440">
        <v>0.93</v>
      </c>
      <c r="G290" s="443">
        <v>1</v>
      </c>
      <c r="H290" s="443">
        <v>1</v>
      </c>
      <c r="J290" s="440">
        <v>0.96</v>
      </c>
      <c r="K290" s="443">
        <v>1</v>
      </c>
      <c r="L290" s="443">
        <v>1</v>
      </c>
      <c r="N290" s="444">
        <f t="shared" si="4"/>
        <v>-3.1249999999999889E-2</v>
      </c>
      <c r="O290" s="444">
        <f t="shared" si="4"/>
        <v>0</v>
      </c>
      <c r="P290" s="444">
        <f t="shared" si="4"/>
        <v>0</v>
      </c>
    </row>
    <row r="291" spans="2:16" x14ac:dyDescent="0.2">
      <c r="B291" s="440" t="s">
        <v>1790</v>
      </c>
      <c r="C291" s="440" t="s">
        <v>1804</v>
      </c>
      <c r="D291" s="440" t="s">
        <v>1805</v>
      </c>
      <c r="E291" s="440">
        <v>76</v>
      </c>
      <c r="F291" s="440">
        <v>0.93</v>
      </c>
      <c r="G291" s="443">
        <v>1</v>
      </c>
      <c r="H291" s="443">
        <v>1</v>
      </c>
      <c r="J291" s="440">
        <v>0.96</v>
      </c>
      <c r="K291" s="443">
        <v>1</v>
      </c>
      <c r="L291" s="443">
        <v>1</v>
      </c>
      <c r="N291" s="444">
        <f t="shared" si="4"/>
        <v>-3.1249999999999889E-2</v>
      </c>
      <c r="O291" s="444">
        <f t="shared" si="4"/>
        <v>0</v>
      </c>
      <c r="P291" s="444">
        <f t="shared" si="4"/>
        <v>0</v>
      </c>
    </row>
    <row r="292" spans="2:16" x14ac:dyDescent="0.2">
      <c r="B292" s="440" t="s">
        <v>1790</v>
      </c>
      <c r="C292" s="440" t="s">
        <v>1804</v>
      </c>
      <c r="D292" s="440" t="s">
        <v>1805</v>
      </c>
      <c r="E292" s="440">
        <v>77</v>
      </c>
      <c r="F292" s="440">
        <v>0.93</v>
      </c>
      <c r="G292" s="443">
        <v>1</v>
      </c>
      <c r="H292" s="443">
        <v>1</v>
      </c>
      <c r="J292" s="440">
        <v>0.96</v>
      </c>
      <c r="K292" s="443">
        <v>1</v>
      </c>
      <c r="L292" s="443">
        <v>1</v>
      </c>
      <c r="N292" s="444">
        <f t="shared" si="4"/>
        <v>-3.1249999999999889E-2</v>
      </c>
      <c r="O292" s="444">
        <f t="shared" si="4"/>
        <v>0</v>
      </c>
      <c r="P292" s="444">
        <f t="shared" si="4"/>
        <v>0</v>
      </c>
    </row>
    <row r="293" spans="2:16" x14ac:dyDescent="0.2">
      <c r="B293" s="440" t="s">
        <v>1790</v>
      </c>
      <c r="C293" s="440" t="s">
        <v>1804</v>
      </c>
      <c r="D293" s="440" t="s">
        <v>1805</v>
      </c>
      <c r="E293" s="440">
        <v>78</v>
      </c>
      <c r="F293" s="440">
        <v>0.93</v>
      </c>
      <c r="G293" s="443">
        <v>1</v>
      </c>
      <c r="H293" s="443">
        <v>1</v>
      </c>
      <c r="J293" s="440">
        <v>0.96</v>
      </c>
      <c r="K293" s="443">
        <v>1</v>
      </c>
      <c r="L293" s="443">
        <v>1</v>
      </c>
      <c r="N293" s="444">
        <f t="shared" si="4"/>
        <v>-3.1249999999999889E-2</v>
      </c>
      <c r="O293" s="444">
        <f t="shared" si="4"/>
        <v>0</v>
      </c>
      <c r="P293" s="444">
        <f t="shared" si="4"/>
        <v>0</v>
      </c>
    </row>
    <row r="294" spans="2:16" x14ac:dyDescent="0.2">
      <c r="B294" s="440" t="s">
        <v>1790</v>
      </c>
      <c r="C294" s="440" t="s">
        <v>1804</v>
      </c>
      <c r="D294" s="440" t="s">
        <v>1805</v>
      </c>
      <c r="E294" s="440">
        <v>79</v>
      </c>
      <c r="F294" s="440">
        <v>0.93</v>
      </c>
      <c r="G294" s="443">
        <v>1</v>
      </c>
      <c r="H294" s="443">
        <v>1</v>
      </c>
      <c r="J294" s="440">
        <v>0.96</v>
      </c>
      <c r="K294" s="443">
        <v>1</v>
      </c>
      <c r="L294" s="443">
        <v>1</v>
      </c>
      <c r="N294" s="444">
        <f t="shared" si="4"/>
        <v>-3.1249999999999889E-2</v>
      </c>
      <c r="O294" s="444">
        <f t="shared" si="4"/>
        <v>0</v>
      </c>
      <c r="P294" s="444">
        <f t="shared" si="4"/>
        <v>0</v>
      </c>
    </row>
    <row r="295" spans="2:16" x14ac:dyDescent="0.2">
      <c r="B295" s="440" t="s">
        <v>1790</v>
      </c>
      <c r="C295" s="440" t="s">
        <v>1804</v>
      </c>
      <c r="D295" s="440" t="s">
        <v>1805</v>
      </c>
      <c r="E295" s="440">
        <v>80</v>
      </c>
      <c r="F295" s="440">
        <v>0.93</v>
      </c>
      <c r="G295" s="443">
        <v>1</v>
      </c>
      <c r="H295" s="443">
        <v>1</v>
      </c>
      <c r="J295" s="440">
        <v>0.96</v>
      </c>
      <c r="K295" s="443">
        <v>1</v>
      </c>
      <c r="L295" s="443">
        <v>1</v>
      </c>
      <c r="N295" s="444">
        <f t="shared" si="4"/>
        <v>-3.1249999999999889E-2</v>
      </c>
      <c r="O295" s="444">
        <f t="shared" si="4"/>
        <v>0</v>
      </c>
      <c r="P295" s="444">
        <f t="shared" si="4"/>
        <v>0</v>
      </c>
    </row>
    <row r="296" spans="2:16" x14ac:dyDescent="0.2">
      <c r="B296" s="440" t="s">
        <v>1790</v>
      </c>
      <c r="C296" s="440" t="s">
        <v>1804</v>
      </c>
      <c r="D296" s="440" t="s">
        <v>1805</v>
      </c>
      <c r="E296" s="440">
        <v>81</v>
      </c>
      <c r="F296" s="440">
        <v>0.93</v>
      </c>
      <c r="G296" s="443">
        <v>1</v>
      </c>
      <c r="H296" s="443">
        <v>1</v>
      </c>
      <c r="J296" s="440">
        <v>0.96</v>
      </c>
      <c r="K296" s="443">
        <v>1</v>
      </c>
      <c r="L296" s="443">
        <v>1</v>
      </c>
      <c r="N296" s="444">
        <f t="shared" si="4"/>
        <v>-3.1249999999999889E-2</v>
      </c>
      <c r="O296" s="444">
        <f t="shared" si="4"/>
        <v>0</v>
      </c>
      <c r="P296" s="444">
        <f t="shared" si="4"/>
        <v>0</v>
      </c>
    </row>
    <row r="297" spans="2:16" x14ac:dyDescent="0.2">
      <c r="B297" s="440" t="s">
        <v>1790</v>
      </c>
      <c r="C297" s="440" t="s">
        <v>1804</v>
      </c>
      <c r="D297" s="440" t="s">
        <v>1805</v>
      </c>
      <c r="E297" s="440">
        <v>82</v>
      </c>
      <c r="F297" s="440">
        <v>0.93</v>
      </c>
      <c r="G297" s="443">
        <v>1</v>
      </c>
      <c r="H297" s="443">
        <v>1</v>
      </c>
      <c r="J297" s="440">
        <v>0.96</v>
      </c>
      <c r="K297" s="443">
        <v>1</v>
      </c>
      <c r="L297" s="443">
        <v>1</v>
      </c>
      <c r="N297" s="444">
        <f t="shared" si="4"/>
        <v>-3.1249999999999889E-2</v>
      </c>
      <c r="O297" s="444">
        <f t="shared" si="4"/>
        <v>0</v>
      </c>
      <c r="P297" s="444">
        <f t="shared" si="4"/>
        <v>0</v>
      </c>
    </row>
    <row r="298" spans="2:16" x14ac:dyDescent="0.2">
      <c r="B298" s="440" t="s">
        <v>1790</v>
      </c>
      <c r="C298" s="440" t="s">
        <v>1804</v>
      </c>
      <c r="D298" s="440" t="s">
        <v>1805</v>
      </c>
      <c r="E298" s="440">
        <v>83</v>
      </c>
      <c r="F298" s="440">
        <v>0.93</v>
      </c>
      <c r="G298" s="443">
        <v>1</v>
      </c>
      <c r="H298" s="443">
        <v>1</v>
      </c>
      <c r="J298" s="440">
        <v>0.96</v>
      </c>
      <c r="K298" s="443">
        <v>1</v>
      </c>
      <c r="L298" s="443">
        <v>1</v>
      </c>
      <c r="N298" s="444">
        <f t="shared" si="4"/>
        <v>-3.1249999999999889E-2</v>
      </c>
      <c r="O298" s="444">
        <f t="shared" si="4"/>
        <v>0</v>
      </c>
      <c r="P298" s="444">
        <f t="shared" si="4"/>
        <v>0</v>
      </c>
    </row>
    <row r="299" spans="2:16" x14ac:dyDescent="0.2">
      <c r="B299" s="440" t="s">
        <v>1790</v>
      </c>
      <c r="C299" s="440" t="s">
        <v>1804</v>
      </c>
      <c r="D299" s="440" t="s">
        <v>1805</v>
      </c>
      <c r="E299" s="440">
        <v>84</v>
      </c>
      <c r="F299" s="440">
        <v>0.93</v>
      </c>
      <c r="G299" s="443">
        <v>1</v>
      </c>
      <c r="H299" s="443">
        <v>1</v>
      </c>
      <c r="J299" s="440">
        <v>0.96</v>
      </c>
      <c r="K299" s="443">
        <v>1</v>
      </c>
      <c r="L299" s="443">
        <v>1</v>
      </c>
      <c r="N299" s="444">
        <f t="shared" si="4"/>
        <v>-3.1249999999999889E-2</v>
      </c>
      <c r="O299" s="444">
        <f t="shared" si="4"/>
        <v>0</v>
      </c>
      <c r="P299" s="444">
        <f t="shared" si="4"/>
        <v>0</v>
      </c>
    </row>
    <row r="300" spans="2:16" x14ac:dyDescent="0.2">
      <c r="B300" s="440" t="s">
        <v>1790</v>
      </c>
      <c r="C300" s="440" t="s">
        <v>1804</v>
      </c>
      <c r="D300" s="440" t="s">
        <v>1805</v>
      </c>
      <c r="E300" s="440">
        <v>85</v>
      </c>
      <c r="F300" s="440">
        <v>0.93</v>
      </c>
      <c r="G300" s="443">
        <v>1</v>
      </c>
      <c r="H300" s="443">
        <v>1</v>
      </c>
      <c r="J300" s="440">
        <v>0.96</v>
      </c>
      <c r="K300" s="443">
        <v>1</v>
      </c>
      <c r="L300" s="443">
        <v>1</v>
      </c>
      <c r="N300" s="444">
        <f t="shared" si="4"/>
        <v>-3.1249999999999889E-2</v>
      </c>
      <c r="O300" s="444">
        <f t="shared" si="4"/>
        <v>0</v>
      </c>
      <c r="P300" s="444">
        <f t="shared" si="4"/>
        <v>0</v>
      </c>
    </row>
    <row r="301" spans="2:16" x14ac:dyDescent="0.2">
      <c r="B301" s="440" t="s">
        <v>1790</v>
      </c>
      <c r="C301" s="440" t="s">
        <v>1804</v>
      </c>
      <c r="D301" s="440" t="s">
        <v>1805</v>
      </c>
      <c r="E301" s="440">
        <v>86</v>
      </c>
      <c r="F301" s="440">
        <v>0.93</v>
      </c>
      <c r="G301" s="443">
        <v>1</v>
      </c>
      <c r="H301" s="443">
        <v>1</v>
      </c>
      <c r="J301" s="440">
        <v>0.96</v>
      </c>
      <c r="K301" s="443">
        <v>1</v>
      </c>
      <c r="L301" s="443">
        <v>1</v>
      </c>
      <c r="N301" s="444">
        <f t="shared" si="4"/>
        <v>-3.1249999999999889E-2</v>
      </c>
      <c r="O301" s="444">
        <f t="shared" si="4"/>
        <v>0</v>
      </c>
      <c r="P301" s="444">
        <f t="shared" si="4"/>
        <v>0</v>
      </c>
    </row>
    <row r="302" spans="2:16" x14ac:dyDescent="0.2">
      <c r="B302" s="440" t="s">
        <v>1790</v>
      </c>
      <c r="C302" s="440" t="s">
        <v>1804</v>
      </c>
      <c r="D302" s="440" t="s">
        <v>1805</v>
      </c>
      <c r="E302" s="440">
        <v>87</v>
      </c>
      <c r="F302" s="440">
        <v>0.93</v>
      </c>
      <c r="G302" s="443">
        <v>1</v>
      </c>
      <c r="H302" s="443">
        <v>1</v>
      </c>
      <c r="J302" s="440">
        <v>0.96</v>
      </c>
      <c r="K302" s="443">
        <v>1</v>
      </c>
      <c r="L302" s="443">
        <v>1</v>
      </c>
      <c r="N302" s="444">
        <f t="shared" si="4"/>
        <v>-3.1249999999999889E-2</v>
      </c>
      <c r="O302" s="444">
        <f t="shared" si="4"/>
        <v>0</v>
      </c>
      <c r="P302" s="444">
        <f t="shared" si="4"/>
        <v>0</v>
      </c>
    </row>
    <row r="303" spans="2:16" x14ac:dyDescent="0.2">
      <c r="B303" s="440" t="s">
        <v>1790</v>
      </c>
      <c r="C303" s="440" t="s">
        <v>1804</v>
      </c>
      <c r="D303" s="440" t="s">
        <v>1805</v>
      </c>
      <c r="E303" s="440">
        <v>88</v>
      </c>
      <c r="F303" s="440">
        <v>0.93</v>
      </c>
      <c r="G303" s="443">
        <v>1</v>
      </c>
      <c r="H303" s="443">
        <v>1</v>
      </c>
      <c r="J303" s="440">
        <v>0.96</v>
      </c>
      <c r="K303" s="443">
        <v>1</v>
      </c>
      <c r="L303" s="443">
        <v>1</v>
      </c>
      <c r="N303" s="444">
        <f t="shared" si="4"/>
        <v>-3.1249999999999889E-2</v>
      </c>
      <c r="O303" s="444">
        <f t="shared" si="4"/>
        <v>0</v>
      </c>
      <c r="P303" s="444">
        <f t="shared" si="4"/>
        <v>0</v>
      </c>
    </row>
    <row r="304" spans="2:16" x14ac:dyDescent="0.2">
      <c r="B304" s="440" t="s">
        <v>1790</v>
      </c>
      <c r="C304" s="440" t="s">
        <v>1804</v>
      </c>
      <c r="D304" s="440" t="s">
        <v>1805</v>
      </c>
      <c r="E304" s="440">
        <v>89</v>
      </c>
      <c r="F304" s="440">
        <v>0.93</v>
      </c>
      <c r="G304" s="443">
        <v>1</v>
      </c>
      <c r="H304" s="443">
        <v>1</v>
      </c>
      <c r="J304" s="440">
        <v>0.96</v>
      </c>
      <c r="K304" s="443">
        <v>1</v>
      </c>
      <c r="L304" s="443">
        <v>1</v>
      </c>
      <c r="N304" s="444">
        <f t="shared" si="4"/>
        <v>-3.1249999999999889E-2</v>
      </c>
      <c r="O304" s="444">
        <f t="shared" si="4"/>
        <v>0</v>
      </c>
      <c r="P304" s="444">
        <f t="shared" si="4"/>
        <v>0</v>
      </c>
    </row>
    <row r="305" spans="2:16" x14ac:dyDescent="0.2">
      <c r="B305" s="440" t="s">
        <v>1790</v>
      </c>
      <c r="C305" s="440" t="s">
        <v>1804</v>
      </c>
      <c r="D305" s="440" t="s">
        <v>1805</v>
      </c>
      <c r="E305" s="440">
        <v>90</v>
      </c>
      <c r="F305" s="440">
        <v>0.93</v>
      </c>
      <c r="G305" s="443">
        <v>1</v>
      </c>
      <c r="H305" s="443">
        <v>1</v>
      </c>
      <c r="J305" s="440">
        <v>0.96</v>
      </c>
      <c r="K305" s="443">
        <v>1</v>
      </c>
      <c r="L305" s="443">
        <v>1</v>
      </c>
      <c r="N305" s="444">
        <f t="shared" si="4"/>
        <v>-3.1249999999999889E-2</v>
      </c>
      <c r="O305" s="444">
        <f t="shared" si="4"/>
        <v>0</v>
      </c>
      <c r="P305" s="444">
        <f t="shared" si="4"/>
        <v>0</v>
      </c>
    </row>
    <row r="306" spans="2:16" x14ac:dyDescent="0.2">
      <c r="B306" s="440" t="s">
        <v>1790</v>
      </c>
      <c r="C306" s="440" t="s">
        <v>1804</v>
      </c>
      <c r="D306" s="440" t="s">
        <v>1805</v>
      </c>
      <c r="E306" s="440">
        <v>91</v>
      </c>
      <c r="F306" s="440">
        <v>0.93</v>
      </c>
      <c r="G306" s="443">
        <v>1</v>
      </c>
      <c r="H306" s="443">
        <v>1</v>
      </c>
      <c r="J306" s="440">
        <v>0.96</v>
      </c>
      <c r="K306" s="443">
        <v>1</v>
      </c>
      <c r="L306" s="443">
        <v>1</v>
      </c>
      <c r="N306" s="444">
        <f t="shared" si="4"/>
        <v>-3.1249999999999889E-2</v>
      </c>
      <c r="O306" s="444">
        <f t="shared" si="4"/>
        <v>0</v>
      </c>
      <c r="P306" s="444">
        <f t="shared" si="4"/>
        <v>0</v>
      </c>
    </row>
    <row r="307" spans="2:16" x14ac:dyDescent="0.2">
      <c r="B307" s="440" t="s">
        <v>1790</v>
      </c>
      <c r="C307" s="440" t="s">
        <v>1804</v>
      </c>
      <c r="D307" s="440" t="s">
        <v>1805</v>
      </c>
      <c r="E307" s="440">
        <v>92</v>
      </c>
      <c r="F307" s="440">
        <v>0.93</v>
      </c>
      <c r="G307" s="443">
        <v>1</v>
      </c>
      <c r="H307" s="443">
        <v>1</v>
      </c>
      <c r="J307" s="440">
        <v>0.96</v>
      </c>
      <c r="K307" s="443">
        <v>1</v>
      </c>
      <c r="L307" s="443">
        <v>1</v>
      </c>
      <c r="N307" s="444">
        <f t="shared" si="4"/>
        <v>-3.1249999999999889E-2</v>
      </c>
      <c r="O307" s="444">
        <f t="shared" si="4"/>
        <v>0</v>
      </c>
      <c r="P307" s="444">
        <f t="shared" si="4"/>
        <v>0</v>
      </c>
    </row>
    <row r="308" spans="2:16" x14ac:dyDescent="0.2">
      <c r="B308" s="440" t="s">
        <v>1790</v>
      </c>
      <c r="C308" s="440" t="s">
        <v>1804</v>
      </c>
      <c r="D308" s="440" t="s">
        <v>1805</v>
      </c>
      <c r="E308" s="440">
        <v>93</v>
      </c>
      <c r="F308" s="440">
        <v>0.93</v>
      </c>
      <c r="G308" s="443">
        <v>1</v>
      </c>
      <c r="H308" s="443">
        <v>1</v>
      </c>
      <c r="J308" s="440">
        <v>0.96</v>
      </c>
      <c r="K308" s="443">
        <v>1</v>
      </c>
      <c r="L308" s="443">
        <v>1</v>
      </c>
      <c r="N308" s="444">
        <f t="shared" si="4"/>
        <v>-3.1249999999999889E-2</v>
      </c>
      <c r="O308" s="444">
        <f t="shared" si="4"/>
        <v>0</v>
      </c>
      <c r="P308" s="444">
        <f t="shared" si="4"/>
        <v>0</v>
      </c>
    </row>
    <row r="309" spans="2:16" x14ac:dyDescent="0.2">
      <c r="B309" s="440" t="s">
        <v>1790</v>
      </c>
      <c r="C309" s="440" t="s">
        <v>1804</v>
      </c>
      <c r="D309" s="440" t="s">
        <v>1805</v>
      </c>
      <c r="E309" s="440">
        <v>94</v>
      </c>
      <c r="F309" s="440">
        <v>0.93</v>
      </c>
      <c r="G309" s="443">
        <v>1</v>
      </c>
      <c r="H309" s="443">
        <v>1</v>
      </c>
      <c r="J309" s="440">
        <v>0.96</v>
      </c>
      <c r="K309" s="443">
        <v>1</v>
      </c>
      <c r="L309" s="443">
        <v>1</v>
      </c>
      <c r="N309" s="444">
        <f t="shared" si="4"/>
        <v>-3.1249999999999889E-2</v>
      </c>
      <c r="O309" s="444">
        <f t="shared" si="4"/>
        <v>0</v>
      </c>
      <c r="P309" s="444">
        <f t="shared" si="4"/>
        <v>0</v>
      </c>
    </row>
    <row r="310" spans="2:16" x14ac:dyDescent="0.2">
      <c r="B310" s="440" t="s">
        <v>1790</v>
      </c>
      <c r="C310" s="440" t="s">
        <v>1804</v>
      </c>
      <c r="D310" s="440" t="s">
        <v>1805</v>
      </c>
      <c r="E310" s="440">
        <v>95</v>
      </c>
      <c r="F310" s="440">
        <v>0.93</v>
      </c>
      <c r="G310" s="443">
        <v>1</v>
      </c>
      <c r="H310" s="443">
        <v>1</v>
      </c>
      <c r="J310" s="440">
        <v>0.96</v>
      </c>
      <c r="K310" s="443">
        <v>1</v>
      </c>
      <c r="L310" s="443">
        <v>1</v>
      </c>
      <c r="N310" s="444">
        <f t="shared" si="4"/>
        <v>-3.1249999999999889E-2</v>
      </c>
      <c r="O310" s="444">
        <f t="shared" si="4"/>
        <v>0</v>
      </c>
      <c r="P310" s="444">
        <f t="shared" si="4"/>
        <v>0</v>
      </c>
    </row>
    <row r="311" spans="2:16" x14ac:dyDescent="0.2">
      <c r="B311" s="440" t="s">
        <v>1790</v>
      </c>
      <c r="C311" s="440" t="s">
        <v>1804</v>
      </c>
      <c r="D311" s="440" t="s">
        <v>1805</v>
      </c>
      <c r="E311" s="440">
        <v>96</v>
      </c>
      <c r="F311" s="440">
        <v>0.93</v>
      </c>
      <c r="G311" s="443">
        <v>1</v>
      </c>
      <c r="H311" s="443">
        <v>1</v>
      </c>
      <c r="J311" s="440">
        <v>0.96</v>
      </c>
      <c r="K311" s="443">
        <v>1</v>
      </c>
      <c r="L311" s="443">
        <v>1</v>
      </c>
      <c r="N311" s="444">
        <f t="shared" si="4"/>
        <v>-3.1249999999999889E-2</v>
      </c>
      <c r="O311" s="444">
        <f t="shared" si="4"/>
        <v>0</v>
      </c>
      <c r="P311" s="444">
        <f t="shared" si="4"/>
        <v>0</v>
      </c>
    </row>
    <row r="312" spans="2:16" x14ac:dyDescent="0.2">
      <c r="B312" s="440" t="s">
        <v>1790</v>
      </c>
      <c r="C312" s="440" t="s">
        <v>1804</v>
      </c>
      <c r="D312" s="440" t="s">
        <v>1805</v>
      </c>
      <c r="E312" s="440">
        <v>97</v>
      </c>
      <c r="F312" s="440">
        <v>0.93</v>
      </c>
      <c r="G312" s="443">
        <v>1</v>
      </c>
      <c r="H312" s="443">
        <v>1</v>
      </c>
      <c r="J312" s="440">
        <v>0.96</v>
      </c>
      <c r="K312" s="443">
        <v>1</v>
      </c>
      <c r="L312" s="443">
        <v>1</v>
      </c>
      <c r="N312" s="444">
        <f t="shared" si="4"/>
        <v>-3.1249999999999889E-2</v>
      </c>
      <c r="O312" s="444">
        <f t="shared" si="4"/>
        <v>0</v>
      </c>
      <c r="P312" s="444">
        <f t="shared" si="4"/>
        <v>0</v>
      </c>
    </row>
    <row r="313" spans="2:16" x14ac:dyDescent="0.2">
      <c r="B313" s="440" t="s">
        <v>1790</v>
      </c>
      <c r="C313" s="440" t="s">
        <v>1804</v>
      </c>
      <c r="D313" s="440" t="s">
        <v>1805</v>
      </c>
      <c r="E313" s="440">
        <v>98</v>
      </c>
      <c r="F313" s="440">
        <v>0.93</v>
      </c>
      <c r="G313" s="443">
        <v>1</v>
      </c>
      <c r="H313" s="443">
        <v>1</v>
      </c>
      <c r="J313" s="440">
        <v>0.96</v>
      </c>
      <c r="K313" s="443">
        <v>1</v>
      </c>
      <c r="L313" s="443">
        <v>1</v>
      </c>
      <c r="N313" s="444">
        <f t="shared" si="4"/>
        <v>-3.1249999999999889E-2</v>
      </c>
      <c r="O313" s="444">
        <f t="shared" si="4"/>
        <v>0</v>
      </c>
      <c r="P313" s="444">
        <f t="shared" si="4"/>
        <v>0</v>
      </c>
    </row>
    <row r="314" spans="2:16" x14ac:dyDescent="0.2">
      <c r="B314" s="440" t="s">
        <v>1790</v>
      </c>
      <c r="C314" s="440" t="s">
        <v>1804</v>
      </c>
      <c r="D314" s="440" t="s">
        <v>1805</v>
      </c>
      <c r="E314" s="440">
        <v>99</v>
      </c>
      <c r="F314" s="440">
        <v>0.93</v>
      </c>
      <c r="G314" s="443">
        <v>1</v>
      </c>
      <c r="H314" s="443">
        <v>1</v>
      </c>
      <c r="J314" s="440">
        <v>0.96</v>
      </c>
      <c r="K314" s="443">
        <v>1</v>
      </c>
      <c r="L314" s="443">
        <v>1</v>
      </c>
      <c r="N314" s="444">
        <f t="shared" si="4"/>
        <v>-3.1249999999999889E-2</v>
      </c>
      <c r="O314" s="444">
        <f t="shared" si="4"/>
        <v>0</v>
      </c>
      <c r="P314" s="444">
        <f t="shared" si="4"/>
        <v>0</v>
      </c>
    </row>
    <row r="315" spans="2:16" x14ac:dyDescent="0.2">
      <c r="B315" s="440" t="s">
        <v>1790</v>
      </c>
      <c r="C315" s="440" t="s">
        <v>1804</v>
      </c>
      <c r="D315" s="440" t="s">
        <v>1805</v>
      </c>
      <c r="E315" s="440">
        <v>100</v>
      </c>
      <c r="F315" s="440">
        <v>0.93</v>
      </c>
      <c r="G315" s="443">
        <v>1</v>
      </c>
      <c r="H315" s="443">
        <v>1</v>
      </c>
      <c r="J315" s="440">
        <v>0.96</v>
      </c>
      <c r="K315" s="443">
        <v>1</v>
      </c>
      <c r="L315" s="443">
        <v>1</v>
      </c>
      <c r="N315" s="444">
        <f t="shared" si="4"/>
        <v>-3.1249999999999889E-2</v>
      </c>
      <c r="O315" s="444">
        <f t="shared" si="4"/>
        <v>0</v>
      </c>
      <c r="P315" s="444">
        <f t="shared" si="4"/>
        <v>0</v>
      </c>
    </row>
    <row r="316" spans="2:16" x14ac:dyDescent="0.2">
      <c r="B316" s="440" t="s">
        <v>1790</v>
      </c>
      <c r="C316" s="440" t="s">
        <v>1804</v>
      </c>
      <c r="D316" s="440" t="s">
        <v>1806</v>
      </c>
      <c r="E316" s="440">
        <v>0</v>
      </c>
      <c r="F316" s="440">
        <v>0.93</v>
      </c>
      <c r="G316" s="443">
        <v>1</v>
      </c>
      <c r="H316" s="443">
        <v>2.5</v>
      </c>
      <c r="J316" s="440">
        <v>0.96</v>
      </c>
      <c r="K316" s="443">
        <v>1</v>
      </c>
      <c r="L316" s="443">
        <v>2.5</v>
      </c>
      <c r="N316" s="444">
        <f t="shared" si="4"/>
        <v>-3.1249999999999889E-2</v>
      </c>
      <c r="O316" s="444">
        <f t="shared" si="4"/>
        <v>0</v>
      </c>
      <c r="P316" s="444">
        <f t="shared" si="4"/>
        <v>0</v>
      </c>
    </row>
    <row r="317" spans="2:16" x14ac:dyDescent="0.2">
      <c r="B317" s="440" t="s">
        <v>1790</v>
      </c>
      <c r="C317" s="440" t="s">
        <v>1804</v>
      </c>
      <c r="D317" s="440" t="s">
        <v>1806</v>
      </c>
      <c r="E317" s="440">
        <v>1</v>
      </c>
      <c r="F317" s="440">
        <v>0.93</v>
      </c>
      <c r="G317" s="443">
        <v>1</v>
      </c>
      <c r="H317" s="443">
        <v>2.4</v>
      </c>
      <c r="J317" s="440">
        <v>0.96</v>
      </c>
      <c r="K317" s="443">
        <v>1</v>
      </c>
      <c r="L317" s="443">
        <v>2.5</v>
      </c>
      <c r="N317" s="444">
        <f t="shared" si="4"/>
        <v>-3.1249999999999889E-2</v>
      </c>
      <c r="O317" s="444">
        <f t="shared" si="4"/>
        <v>0</v>
      </c>
      <c r="P317" s="444">
        <f t="shared" si="4"/>
        <v>-4.0000000000000036E-2</v>
      </c>
    </row>
    <row r="318" spans="2:16" x14ac:dyDescent="0.2">
      <c r="B318" s="440" t="s">
        <v>1790</v>
      </c>
      <c r="C318" s="440" t="s">
        <v>1804</v>
      </c>
      <c r="D318" s="440" t="s">
        <v>1806</v>
      </c>
      <c r="E318" s="440">
        <v>2</v>
      </c>
      <c r="F318" s="440">
        <v>0.93</v>
      </c>
      <c r="G318" s="443">
        <v>1</v>
      </c>
      <c r="H318" s="443">
        <v>2.2999999999999998</v>
      </c>
      <c r="J318" s="440">
        <v>0.96</v>
      </c>
      <c r="K318" s="443">
        <v>1</v>
      </c>
      <c r="L318" s="443">
        <v>2.5</v>
      </c>
      <c r="N318" s="444">
        <f t="shared" si="4"/>
        <v>-3.1249999999999889E-2</v>
      </c>
      <c r="O318" s="444">
        <f t="shared" si="4"/>
        <v>0</v>
      </c>
      <c r="P318" s="444">
        <f t="shared" si="4"/>
        <v>-8.0000000000000071E-2</v>
      </c>
    </row>
    <row r="319" spans="2:16" x14ac:dyDescent="0.2">
      <c r="B319" s="440" t="s">
        <v>1790</v>
      </c>
      <c r="C319" s="440" t="s">
        <v>1804</v>
      </c>
      <c r="D319" s="440" t="s">
        <v>1806</v>
      </c>
      <c r="E319" s="440">
        <v>3</v>
      </c>
      <c r="F319" s="440">
        <v>0.93</v>
      </c>
      <c r="G319" s="443">
        <v>1</v>
      </c>
      <c r="H319" s="443">
        <v>2.2000000000000002</v>
      </c>
      <c r="J319" s="440">
        <v>0.96</v>
      </c>
      <c r="K319" s="443">
        <v>1</v>
      </c>
      <c r="L319" s="443">
        <v>2.5</v>
      </c>
      <c r="N319" s="444">
        <f t="shared" si="4"/>
        <v>-3.1249999999999889E-2</v>
      </c>
      <c r="O319" s="444">
        <f t="shared" si="4"/>
        <v>0</v>
      </c>
      <c r="P319" s="444">
        <f t="shared" si="4"/>
        <v>-0.11999999999999988</v>
      </c>
    </row>
    <row r="320" spans="2:16" x14ac:dyDescent="0.2">
      <c r="B320" s="440" t="s">
        <v>1790</v>
      </c>
      <c r="C320" s="440" t="s">
        <v>1804</v>
      </c>
      <c r="D320" s="440" t="s">
        <v>1806</v>
      </c>
      <c r="E320" s="440">
        <v>4</v>
      </c>
      <c r="F320" s="440">
        <v>0.93</v>
      </c>
      <c r="G320" s="443">
        <v>1</v>
      </c>
      <c r="H320" s="443">
        <v>2.15</v>
      </c>
      <c r="J320" s="440">
        <v>0.96</v>
      </c>
      <c r="K320" s="443">
        <v>1</v>
      </c>
      <c r="L320" s="443">
        <v>2.4</v>
      </c>
      <c r="N320" s="444">
        <f t="shared" si="4"/>
        <v>-3.1249999999999889E-2</v>
      </c>
      <c r="O320" s="444">
        <f t="shared" si="4"/>
        <v>0</v>
      </c>
      <c r="P320" s="444">
        <f t="shared" si="4"/>
        <v>-0.10416666666666663</v>
      </c>
    </row>
    <row r="321" spans="2:16" x14ac:dyDescent="0.2">
      <c r="B321" s="440" t="s">
        <v>1790</v>
      </c>
      <c r="C321" s="440" t="s">
        <v>1804</v>
      </c>
      <c r="D321" s="440" t="s">
        <v>1806</v>
      </c>
      <c r="E321" s="440">
        <v>5</v>
      </c>
      <c r="F321" s="440">
        <v>0.93</v>
      </c>
      <c r="G321" s="443">
        <v>1</v>
      </c>
      <c r="H321" s="443">
        <v>2.1</v>
      </c>
      <c r="J321" s="440">
        <v>0.96</v>
      </c>
      <c r="K321" s="443">
        <v>1</v>
      </c>
      <c r="L321" s="443">
        <v>2.2999999999999998</v>
      </c>
      <c r="N321" s="444">
        <f t="shared" si="4"/>
        <v>-3.1249999999999889E-2</v>
      </c>
      <c r="O321" s="444">
        <f t="shared" si="4"/>
        <v>0</v>
      </c>
      <c r="P321" s="444">
        <f t="shared" si="4"/>
        <v>-8.6956521739130377E-2</v>
      </c>
    </row>
    <row r="322" spans="2:16" x14ac:dyDescent="0.2">
      <c r="B322" s="440" t="s">
        <v>1790</v>
      </c>
      <c r="C322" s="440" t="s">
        <v>1804</v>
      </c>
      <c r="D322" s="440" t="s">
        <v>1806</v>
      </c>
      <c r="E322" s="440">
        <v>6</v>
      </c>
      <c r="F322" s="440">
        <v>0.93</v>
      </c>
      <c r="G322" s="443">
        <v>1</v>
      </c>
      <c r="H322" s="443">
        <v>2.0499999999999998</v>
      </c>
      <c r="J322" s="440">
        <v>0.96</v>
      </c>
      <c r="K322" s="443">
        <v>1</v>
      </c>
      <c r="L322" s="443">
        <v>2.2000000000000002</v>
      </c>
      <c r="N322" s="444">
        <f t="shared" si="4"/>
        <v>-3.1249999999999889E-2</v>
      </c>
      <c r="O322" s="444">
        <f t="shared" si="4"/>
        <v>0</v>
      </c>
      <c r="P322" s="444">
        <f t="shared" si="4"/>
        <v>-6.8181818181818343E-2</v>
      </c>
    </row>
    <row r="323" spans="2:16" x14ac:dyDescent="0.2">
      <c r="B323" s="440" t="s">
        <v>1790</v>
      </c>
      <c r="C323" s="440" t="s">
        <v>1804</v>
      </c>
      <c r="D323" s="440" t="s">
        <v>1806</v>
      </c>
      <c r="E323" s="440">
        <v>7</v>
      </c>
      <c r="F323" s="440">
        <v>0.93</v>
      </c>
      <c r="G323" s="443">
        <v>1</v>
      </c>
      <c r="H323" s="443">
        <v>2</v>
      </c>
      <c r="J323" s="440">
        <v>0.96</v>
      </c>
      <c r="K323" s="443">
        <v>1</v>
      </c>
      <c r="L323" s="443">
        <v>2.1</v>
      </c>
      <c r="N323" s="444">
        <f t="shared" si="4"/>
        <v>-3.1249999999999889E-2</v>
      </c>
      <c r="O323" s="444">
        <f t="shared" si="4"/>
        <v>0</v>
      </c>
      <c r="P323" s="444">
        <f t="shared" si="4"/>
        <v>-4.7619047619047672E-2</v>
      </c>
    </row>
    <row r="324" spans="2:16" x14ac:dyDescent="0.2">
      <c r="B324" s="440" t="s">
        <v>1790</v>
      </c>
      <c r="C324" s="440" t="s">
        <v>1804</v>
      </c>
      <c r="D324" s="440" t="s">
        <v>1806</v>
      </c>
      <c r="E324" s="440">
        <v>8</v>
      </c>
      <c r="F324" s="440">
        <v>0.93</v>
      </c>
      <c r="G324" s="443">
        <v>1</v>
      </c>
      <c r="H324" s="443">
        <v>1.95</v>
      </c>
      <c r="J324" s="440">
        <v>0.96</v>
      </c>
      <c r="K324" s="443">
        <v>1</v>
      </c>
      <c r="L324" s="443">
        <v>2.0499999999999998</v>
      </c>
      <c r="N324" s="444">
        <f t="shared" si="4"/>
        <v>-3.1249999999999889E-2</v>
      </c>
      <c r="O324" s="444">
        <f t="shared" si="4"/>
        <v>0</v>
      </c>
      <c r="P324" s="444">
        <f t="shared" si="4"/>
        <v>-4.8780487804877981E-2</v>
      </c>
    </row>
    <row r="325" spans="2:16" x14ac:dyDescent="0.2">
      <c r="B325" s="440" t="s">
        <v>1790</v>
      </c>
      <c r="C325" s="440" t="s">
        <v>1804</v>
      </c>
      <c r="D325" s="440" t="s">
        <v>1806</v>
      </c>
      <c r="E325" s="440">
        <v>9</v>
      </c>
      <c r="F325" s="440">
        <v>0.93</v>
      </c>
      <c r="G325" s="443">
        <v>1</v>
      </c>
      <c r="H325" s="443">
        <v>1.9</v>
      </c>
      <c r="J325" s="440">
        <v>0.96</v>
      </c>
      <c r="K325" s="443">
        <v>1</v>
      </c>
      <c r="L325" s="443">
        <v>2</v>
      </c>
      <c r="N325" s="444">
        <f t="shared" si="4"/>
        <v>-3.1249999999999889E-2</v>
      </c>
      <c r="O325" s="444">
        <f t="shared" si="4"/>
        <v>0</v>
      </c>
      <c r="P325" s="444">
        <f t="shared" si="4"/>
        <v>-5.0000000000000044E-2</v>
      </c>
    </row>
    <row r="326" spans="2:16" x14ac:dyDescent="0.2">
      <c r="B326" s="440" t="s">
        <v>1790</v>
      </c>
      <c r="C326" s="440" t="s">
        <v>1804</v>
      </c>
      <c r="D326" s="440" t="s">
        <v>1806</v>
      </c>
      <c r="E326" s="440">
        <v>10</v>
      </c>
      <c r="F326" s="440">
        <v>0.93</v>
      </c>
      <c r="G326" s="443">
        <v>1</v>
      </c>
      <c r="H326" s="443">
        <v>1.85</v>
      </c>
      <c r="J326" s="440">
        <v>0.96</v>
      </c>
      <c r="K326" s="443">
        <v>1</v>
      </c>
      <c r="L326" s="443">
        <v>1.9</v>
      </c>
      <c r="N326" s="444">
        <f t="shared" si="4"/>
        <v>-3.1249999999999889E-2</v>
      </c>
      <c r="O326" s="444">
        <f t="shared" si="4"/>
        <v>0</v>
      </c>
      <c r="P326" s="444">
        <f t="shared" si="4"/>
        <v>-2.631578947368407E-2</v>
      </c>
    </row>
    <row r="327" spans="2:16" x14ac:dyDescent="0.2">
      <c r="B327" s="440" t="s">
        <v>1790</v>
      </c>
      <c r="C327" s="440" t="s">
        <v>1804</v>
      </c>
      <c r="D327" s="440" t="s">
        <v>1806</v>
      </c>
      <c r="E327" s="440">
        <v>11</v>
      </c>
      <c r="F327" s="440">
        <v>0.93</v>
      </c>
      <c r="G327" s="443">
        <v>1</v>
      </c>
      <c r="H327" s="443">
        <v>1.8</v>
      </c>
      <c r="J327" s="440">
        <v>0.96</v>
      </c>
      <c r="K327" s="443">
        <v>1</v>
      </c>
      <c r="L327" s="443">
        <v>1.85</v>
      </c>
      <c r="N327" s="444">
        <f t="shared" si="4"/>
        <v>-3.1249999999999889E-2</v>
      </c>
      <c r="O327" s="444">
        <f t="shared" si="4"/>
        <v>0</v>
      </c>
      <c r="P327" s="444">
        <f t="shared" si="4"/>
        <v>-2.7027027027027084E-2</v>
      </c>
    </row>
    <row r="328" spans="2:16" x14ac:dyDescent="0.2">
      <c r="B328" s="440" t="s">
        <v>1790</v>
      </c>
      <c r="C328" s="440" t="s">
        <v>1804</v>
      </c>
      <c r="D328" s="440" t="s">
        <v>1806</v>
      </c>
      <c r="E328" s="440">
        <v>12</v>
      </c>
      <c r="F328" s="440">
        <v>0.93</v>
      </c>
      <c r="G328" s="443">
        <v>1</v>
      </c>
      <c r="H328" s="443">
        <v>1.76</v>
      </c>
      <c r="J328" s="440">
        <v>0.96</v>
      </c>
      <c r="K328" s="443">
        <v>1</v>
      </c>
      <c r="L328" s="443">
        <v>1.8</v>
      </c>
      <c r="N328" s="444">
        <f t="shared" si="4"/>
        <v>-3.1249999999999889E-2</v>
      </c>
      <c r="O328" s="444">
        <f t="shared" si="4"/>
        <v>0</v>
      </c>
      <c r="P328" s="444">
        <f t="shared" si="4"/>
        <v>-2.2222222222222254E-2</v>
      </c>
    </row>
    <row r="329" spans="2:16" x14ac:dyDescent="0.2">
      <c r="B329" s="440" t="s">
        <v>1790</v>
      </c>
      <c r="C329" s="440" t="s">
        <v>1804</v>
      </c>
      <c r="D329" s="440" t="s">
        <v>1806</v>
      </c>
      <c r="E329" s="440">
        <v>13</v>
      </c>
      <c r="F329" s="440">
        <v>0.93</v>
      </c>
      <c r="G329" s="443">
        <v>1</v>
      </c>
      <c r="H329" s="443">
        <v>1.72</v>
      </c>
      <c r="J329" s="440">
        <v>0.96</v>
      </c>
      <c r="K329" s="443">
        <v>1</v>
      </c>
      <c r="L329" s="443">
        <v>1.76</v>
      </c>
      <c r="N329" s="444">
        <f t="shared" si="4"/>
        <v>-3.1249999999999889E-2</v>
      </c>
      <c r="O329" s="444">
        <f t="shared" si="4"/>
        <v>0</v>
      </c>
      <c r="P329" s="444">
        <f t="shared" si="4"/>
        <v>-2.2727272727272707E-2</v>
      </c>
    </row>
    <row r="330" spans="2:16" x14ac:dyDescent="0.2">
      <c r="B330" s="440" t="s">
        <v>1790</v>
      </c>
      <c r="C330" s="440" t="s">
        <v>1804</v>
      </c>
      <c r="D330" s="440" t="s">
        <v>1806</v>
      </c>
      <c r="E330" s="440">
        <v>14</v>
      </c>
      <c r="F330" s="440">
        <v>0.93</v>
      </c>
      <c r="G330" s="443">
        <v>1</v>
      </c>
      <c r="H330" s="443">
        <v>1.68</v>
      </c>
      <c r="J330" s="440">
        <v>0.96</v>
      </c>
      <c r="K330" s="443">
        <v>1</v>
      </c>
      <c r="L330" s="443">
        <v>1.72</v>
      </c>
      <c r="N330" s="444">
        <f t="shared" si="4"/>
        <v>-3.1249999999999889E-2</v>
      </c>
      <c r="O330" s="444">
        <f t="shared" si="4"/>
        <v>0</v>
      </c>
      <c r="P330" s="444">
        <f t="shared" si="4"/>
        <v>-2.3255813953488413E-2</v>
      </c>
    </row>
    <row r="331" spans="2:16" x14ac:dyDescent="0.2">
      <c r="B331" s="440" t="s">
        <v>1790</v>
      </c>
      <c r="C331" s="440" t="s">
        <v>1804</v>
      </c>
      <c r="D331" s="440" t="s">
        <v>1806</v>
      </c>
      <c r="E331" s="440">
        <v>15</v>
      </c>
      <c r="F331" s="440">
        <v>0.93</v>
      </c>
      <c r="G331" s="443">
        <v>1</v>
      </c>
      <c r="H331" s="443">
        <v>1.64</v>
      </c>
      <c r="J331" s="440">
        <v>0.96</v>
      </c>
      <c r="K331" s="443">
        <v>1</v>
      </c>
      <c r="L331" s="443">
        <v>1.68</v>
      </c>
      <c r="N331" s="444">
        <f t="shared" si="4"/>
        <v>-3.1249999999999889E-2</v>
      </c>
      <c r="O331" s="444">
        <f t="shared" si="4"/>
        <v>0</v>
      </c>
      <c r="P331" s="444">
        <f t="shared" si="4"/>
        <v>-2.3809523809523836E-2</v>
      </c>
    </row>
    <row r="332" spans="2:16" x14ac:dyDescent="0.2">
      <c r="B332" s="440" t="s">
        <v>1790</v>
      </c>
      <c r="C332" s="440" t="s">
        <v>1804</v>
      </c>
      <c r="D332" s="440" t="s">
        <v>1806</v>
      </c>
      <c r="E332" s="440">
        <v>16</v>
      </c>
      <c r="F332" s="440">
        <v>0.93</v>
      </c>
      <c r="G332" s="443">
        <v>1</v>
      </c>
      <c r="H332" s="443">
        <v>1.61</v>
      </c>
      <c r="J332" s="440">
        <v>0.96</v>
      </c>
      <c r="K332" s="443">
        <v>1</v>
      </c>
      <c r="L332" s="443">
        <v>1.64</v>
      </c>
      <c r="N332" s="444">
        <f t="shared" si="4"/>
        <v>-3.1249999999999889E-2</v>
      </c>
      <c r="O332" s="444">
        <f t="shared" si="4"/>
        <v>0</v>
      </c>
      <c r="P332" s="444">
        <f t="shared" si="4"/>
        <v>-1.8292682926829174E-2</v>
      </c>
    </row>
    <row r="333" spans="2:16" x14ac:dyDescent="0.2">
      <c r="B333" s="440" t="s">
        <v>1790</v>
      </c>
      <c r="C333" s="440" t="s">
        <v>1804</v>
      </c>
      <c r="D333" s="440" t="s">
        <v>1806</v>
      </c>
      <c r="E333" s="440">
        <v>17</v>
      </c>
      <c r="F333" s="440">
        <v>0.93</v>
      </c>
      <c r="G333" s="443">
        <v>1</v>
      </c>
      <c r="H333" s="443">
        <v>1.58</v>
      </c>
      <c r="J333" s="440">
        <v>0.96</v>
      </c>
      <c r="K333" s="443">
        <v>1</v>
      </c>
      <c r="L333" s="443">
        <v>1.61</v>
      </c>
      <c r="N333" s="444">
        <f t="shared" ref="N333:P396" si="5">F333/J333-1</f>
        <v>-3.1249999999999889E-2</v>
      </c>
      <c r="O333" s="444">
        <f t="shared" si="5"/>
        <v>0</v>
      </c>
      <c r="P333" s="444">
        <f t="shared" si="5"/>
        <v>-1.8633540372670843E-2</v>
      </c>
    </row>
    <row r="334" spans="2:16" x14ac:dyDescent="0.2">
      <c r="B334" s="440" t="s">
        <v>1790</v>
      </c>
      <c r="C334" s="440" t="s">
        <v>1804</v>
      </c>
      <c r="D334" s="440" t="s">
        <v>1806</v>
      </c>
      <c r="E334" s="440">
        <v>18</v>
      </c>
      <c r="F334" s="440">
        <v>0.93</v>
      </c>
      <c r="G334" s="443">
        <v>1</v>
      </c>
      <c r="H334" s="443">
        <v>1.55</v>
      </c>
      <c r="J334" s="440">
        <v>0.96</v>
      </c>
      <c r="K334" s="443">
        <v>1</v>
      </c>
      <c r="L334" s="443">
        <v>1.58</v>
      </c>
      <c r="N334" s="444">
        <f t="shared" si="5"/>
        <v>-3.1249999999999889E-2</v>
      </c>
      <c r="O334" s="444">
        <f t="shared" si="5"/>
        <v>0</v>
      </c>
      <c r="P334" s="444">
        <f t="shared" si="5"/>
        <v>-1.8987341772151889E-2</v>
      </c>
    </row>
    <row r="335" spans="2:16" x14ac:dyDescent="0.2">
      <c r="B335" s="440" t="s">
        <v>1790</v>
      </c>
      <c r="C335" s="440" t="s">
        <v>1804</v>
      </c>
      <c r="D335" s="440" t="s">
        <v>1806</v>
      </c>
      <c r="E335" s="440">
        <v>19</v>
      </c>
      <c r="F335" s="440">
        <v>0.93</v>
      </c>
      <c r="G335" s="443">
        <v>1</v>
      </c>
      <c r="H335" s="443">
        <v>1.52</v>
      </c>
      <c r="J335" s="440">
        <v>0.96</v>
      </c>
      <c r="K335" s="443">
        <v>1</v>
      </c>
      <c r="L335" s="443">
        <v>1.55</v>
      </c>
      <c r="N335" s="444">
        <f t="shared" si="5"/>
        <v>-3.1249999999999889E-2</v>
      </c>
      <c r="O335" s="444">
        <f t="shared" si="5"/>
        <v>0</v>
      </c>
      <c r="P335" s="444">
        <f t="shared" si="5"/>
        <v>-1.9354838709677469E-2</v>
      </c>
    </row>
    <row r="336" spans="2:16" x14ac:dyDescent="0.2">
      <c r="B336" s="440" t="s">
        <v>1790</v>
      </c>
      <c r="C336" s="440" t="s">
        <v>1804</v>
      </c>
      <c r="D336" s="440" t="s">
        <v>1806</v>
      </c>
      <c r="E336" s="440">
        <v>20</v>
      </c>
      <c r="F336" s="440">
        <v>0.93</v>
      </c>
      <c r="G336" s="443">
        <v>1</v>
      </c>
      <c r="H336" s="443">
        <v>1.49</v>
      </c>
      <c r="J336" s="440">
        <v>0.96</v>
      </c>
      <c r="K336" s="443">
        <v>1</v>
      </c>
      <c r="L336" s="443">
        <v>1.52</v>
      </c>
      <c r="N336" s="444">
        <f t="shared" si="5"/>
        <v>-3.1249999999999889E-2</v>
      </c>
      <c r="O336" s="444">
        <f t="shared" si="5"/>
        <v>0</v>
      </c>
      <c r="P336" s="444">
        <f t="shared" si="5"/>
        <v>-1.9736842105263164E-2</v>
      </c>
    </row>
    <row r="337" spans="2:16" x14ac:dyDescent="0.2">
      <c r="B337" s="440" t="s">
        <v>1790</v>
      </c>
      <c r="C337" s="440" t="s">
        <v>1804</v>
      </c>
      <c r="D337" s="440" t="s">
        <v>1806</v>
      </c>
      <c r="E337" s="440">
        <v>21</v>
      </c>
      <c r="F337" s="440">
        <v>0.93</v>
      </c>
      <c r="G337" s="443">
        <v>1</v>
      </c>
      <c r="H337" s="443">
        <v>1.46</v>
      </c>
      <c r="J337" s="440">
        <v>0.96</v>
      </c>
      <c r="K337" s="443">
        <v>1</v>
      </c>
      <c r="L337" s="443">
        <v>1.49</v>
      </c>
      <c r="N337" s="444">
        <f t="shared" si="5"/>
        <v>-3.1249999999999889E-2</v>
      </c>
      <c r="O337" s="444">
        <f t="shared" si="5"/>
        <v>0</v>
      </c>
      <c r="P337" s="444">
        <f t="shared" si="5"/>
        <v>-2.0134228187919434E-2</v>
      </c>
    </row>
    <row r="338" spans="2:16" x14ac:dyDescent="0.2">
      <c r="B338" s="440" t="s">
        <v>1790</v>
      </c>
      <c r="C338" s="440" t="s">
        <v>1804</v>
      </c>
      <c r="D338" s="440" t="s">
        <v>1806</v>
      </c>
      <c r="E338" s="440">
        <v>22</v>
      </c>
      <c r="F338" s="440">
        <v>0.93</v>
      </c>
      <c r="G338" s="443">
        <v>1</v>
      </c>
      <c r="H338" s="443">
        <v>1.43</v>
      </c>
      <c r="J338" s="440">
        <v>0.96</v>
      </c>
      <c r="K338" s="443">
        <v>1</v>
      </c>
      <c r="L338" s="443">
        <v>1.46</v>
      </c>
      <c r="N338" s="444">
        <f t="shared" si="5"/>
        <v>-3.1249999999999889E-2</v>
      </c>
      <c r="O338" s="444">
        <f t="shared" si="5"/>
        <v>0</v>
      </c>
      <c r="P338" s="444">
        <f t="shared" si="5"/>
        <v>-2.0547945205479423E-2</v>
      </c>
    </row>
    <row r="339" spans="2:16" x14ac:dyDescent="0.2">
      <c r="B339" s="440" t="s">
        <v>1790</v>
      </c>
      <c r="C339" s="440" t="s">
        <v>1804</v>
      </c>
      <c r="D339" s="440" t="s">
        <v>1806</v>
      </c>
      <c r="E339" s="440">
        <v>23</v>
      </c>
      <c r="F339" s="440">
        <v>0.93</v>
      </c>
      <c r="G339" s="443">
        <v>1</v>
      </c>
      <c r="H339" s="443">
        <v>1.4</v>
      </c>
      <c r="J339" s="440">
        <v>0.96</v>
      </c>
      <c r="K339" s="443">
        <v>1</v>
      </c>
      <c r="L339" s="443">
        <v>1.43</v>
      </c>
      <c r="N339" s="444">
        <f t="shared" si="5"/>
        <v>-3.1249999999999889E-2</v>
      </c>
      <c r="O339" s="444">
        <f t="shared" si="5"/>
        <v>0</v>
      </c>
      <c r="P339" s="444">
        <f t="shared" si="5"/>
        <v>-2.0979020979021046E-2</v>
      </c>
    </row>
    <row r="340" spans="2:16" x14ac:dyDescent="0.2">
      <c r="B340" s="440" t="s">
        <v>1790</v>
      </c>
      <c r="C340" s="440" t="s">
        <v>1804</v>
      </c>
      <c r="D340" s="440" t="s">
        <v>1806</v>
      </c>
      <c r="E340" s="440">
        <v>24</v>
      </c>
      <c r="F340" s="440">
        <v>0.93</v>
      </c>
      <c r="G340" s="443">
        <v>1</v>
      </c>
      <c r="H340" s="443">
        <v>1.38</v>
      </c>
      <c r="J340" s="440">
        <v>0.96</v>
      </c>
      <c r="K340" s="443">
        <v>1</v>
      </c>
      <c r="L340" s="443">
        <v>1.4</v>
      </c>
      <c r="N340" s="444">
        <f t="shared" si="5"/>
        <v>-3.1249999999999889E-2</v>
      </c>
      <c r="O340" s="444">
        <f t="shared" si="5"/>
        <v>0</v>
      </c>
      <c r="P340" s="444">
        <f t="shared" si="5"/>
        <v>-1.4285714285714346E-2</v>
      </c>
    </row>
    <row r="341" spans="2:16" x14ac:dyDescent="0.2">
      <c r="B341" s="440" t="s">
        <v>1790</v>
      </c>
      <c r="C341" s="440" t="s">
        <v>1804</v>
      </c>
      <c r="D341" s="440" t="s">
        <v>1806</v>
      </c>
      <c r="E341" s="440">
        <v>25</v>
      </c>
      <c r="F341" s="440">
        <v>0.93</v>
      </c>
      <c r="G341" s="443">
        <v>1</v>
      </c>
      <c r="H341" s="443">
        <v>1.36</v>
      </c>
      <c r="J341" s="440">
        <v>0.96</v>
      </c>
      <c r="K341" s="443">
        <v>1</v>
      </c>
      <c r="L341" s="443">
        <v>1.38</v>
      </c>
      <c r="N341" s="444">
        <f t="shared" si="5"/>
        <v>-3.1249999999999889E-2</v>
      </c>
      <c r="O341" s="444">
        <f t="shared" si="5"/>
        <v>0</v>
      </c>
      <c r="P341" s="444">
        <f t="shared" si="5"/>
        <v>-1.4492753623188248E-2</v>
      </c>
    </row>
    <row r="342" spans="2:16" x14ac:dyDescent="0.2">
      <c r="B342" s="440" t="s">
        <v>1790</v>
      </c>
      <c r="C342" s="440" t="s">
        <v>1804</v>
      </c>
      <c r="D342" s="440" t="s">
        <v>1806</v>
      </c>
      <c r="E342" s="440">
        <v>26</v>
      </c>
      <c r="F342" s="440">
        <v>0.93</v>
      </c>
      <c r="G342" s="443">
        <v>1</v>
      </c>
      <c r="H342" s="443">
        <v>1.34</v>
      </c>
      <c r="J342" s="440">
        <v>0.96</v>
      </c>
      <c r="K342" s="443">
        <v>1</v>
      </c>
      <c r="L342" s="443">
        <v>1.36</v>
      </c>
      <c r="N342" s="444">
        <f t="shared" si="5"/>
        <v>-3.1249999999999889E-2</v>
      </c>
      <c r="O342" s="444">
        <f t="shared" si="5"/>
        <v>0</v>
      </c>
      <c r="P342" s="444">
        <f t="shared" si="5"/>
        <v>-1.4705882352941235E-2</v>
      </c>
    </row>
    <row r="343" spans="2:16" x14ac:dyDescent="0.2">
      <c r="B343" s="440" t="s">
        <v>1790</v>
      </c>
      <c r="C343" s="440" t="s">
        <v>1804</v>
      </c>
      <c r="D343" s="440" t="s">
        <v>1806</v>
      </c>
      <c r="E343" s="440">
        <v>27</v>
      </c>
      <c r="F343" s="440">
        <v>0.93</v>
      </c>
      <c r="G343" s="443">
        <v>1</v>
      </c>
      <c r="H343" s="443">
        <v>1.32</v>
      </c>
      <c r="J343" s="440">
        <v>0.96</v>
      </c>
      <c r="K343" s="443">
        <v>1</v>
      </c>
      <c r="L343" s="443">
        <v>1.34</v>
      </c>
      <c r="N343" s="444">
        <f t="shared" si="5"/>
        <v>-3.1249999999999889E-2</v>
      </c>
      <c r="O343" s="444">
        <f t="shared" si="5"/>
        <v>0</v>
      </c>
      <c r="P343" s="444">
        <f t="shared" si="5"/>
        <v>-1.4925373134328401E-2</v>
      </c>
    </row>
    <row r="344" spans="2:16" x14ac:dyDescent="0.2">
      <c r="B344" s="440" t="s">
        <v>1790</v>
      </c>
      <c r="C344" s="440" t="s">
        <v>1804</v>
      </c>
      <c r="D344" s="440" t="s">
        <v>1806</v>
      </c>
      <c r="E344" s="440">
        <v>28</v>
      </c>
      <c r="F344" s="440">
        <v>0.93</v>
      </c>
      <c r="G344" s="443">
        <v>1</v>
      </c>
      <c r="H344" s="443">
        <v>1.3</v>
      </c>
      <c r="J344" s="440">
        <v>0.96</v>
      </c>
      <c r="K344" s="443">
        <v>1</v>
      </c>
      <c r="L344" s="443">
        <v>1.32</v>
      </c>
      <c r="N344" s="444">
        <f t="shared" si="5"/>
        <v>-3.1249999999999889E-2</v>
      </c>
      <c r="O344" s="444">
        <f t="shared" si="5"/>
        <v>0</v>
      </c>
      <c r="P344" s="444">
        <f t="shared" si="5"/>
        <v>-1.5151515151515138E-2</v>
      </c>
    </row>
    <row r="345" spans="2:16" x14ac:dyDescent="0.2">
      <c r="B345" s="440" t="s">
        <v>1790</v>
      </c>
      <c r="C345" s="440" t="s">
        <v>1804</v>
      </c>
      <c r="D345" s="440" t="s">
        <v>1806</v>
      </c>
      <c r="E345" s="440">
        <v>29</v>
      </c>
      <c r="F345" s="440">
        <v>0.93</v>
      </c>
      <c r="G345" s="443">
        <v>1</v>
      </c>
      <c r="H345" s="443">
        <v>1.28</v>
      </c>
      <c r="J345" s="440">
        <v>0.96</v>
      </c>
      <c r="K345" s="443">
        <v>1</v>
      </c>
      <c r="L345" s="443">
        <v>1.3</v>
      </c>
      <c r="N345" s="444">
        <f t="shared" si="5"/>
        <v>-3.1249999999999889E-2</v>
      </c>
      <c r="O345" s="444">
        <f t="shared" si="5"/>
        <v>0</v>
      </c>
      <c r="P345" s="444">
        <f t="shared" si="5"/>
        <v>-1.5384615384615441E-2</v>
      </c>
    </row>
    <row r="346" spans="2:16" x14ac:dyDescent="0.2">
      <c r="B346" s="440" t="s">
        <v>1790</v>
      </c>
      <c r="C346" s="440" t="s">
        <v>1804</v>
      </c>
      <c r="D346" s="440" t="s">
        <v>1806</v>
      </c>
      <c r="E346" s="440">
        <v>30</v>
      </c>
      <c r="F346" s="440">
        <v>0.93</v>
      </c>
      <c r="G346" s="443">
        <v>1</v>
      </c>
      <c r="H346" s="443">
        <v>1.27</v>
      </c>
      <c r="J346" s="440">
        <v>0.96</v>
      </c>
      <c r="K346" s="443">
        <v>1</v>
      </c>
      <c r="L346" s="443">
        <v>1.28</v>
      </c>
      <c r="N346" s="444">
        <f t="shared" si="5"/>
        <v>-3.1249999999999889E-2</v>
      </c>
      <c r="O346" s="444">
        <f t="shared" si="5"/>
        <v>0</v>
      </c>
      <c r="P346" s="444">
        <f t="shared" si="5"/>
        <v>-7.8125E-3</v>
      </c>
    </row>
    <row r="347" spans="2:16" x14ac:dyDescent="0.2">
      <c r="B347" s="440" t="s">
        <v>1790</v>
      </c>
      <c r="C347" s="440" t="s">
        <v>1804</v>
      </c>
      <c r="D347" s="440" t="s">
        <v>1806</v>
      </c>
      <c r="E347" s="440">
        <v>31</v>
      </c>
      <c r="F347" s="440">
        <v>0.93</v>
      </c>
      <c r="G347" s="443">
        <v>1</v>
      </c>
      <c r="H347" s="443">
        <v>1.26</v>
      </c>
      <c r="J347" s="440">
        <v>0.96</v>
      </c>
      <c r="K347" s="443">
        <v>1</v>
      </c>
      <c r="L347" s="443">
        <v>1.27</v>
      </c>
      <c r="N347" s="444">
        <f t="shared" si="5"/>
        <v>-3.1249999999999889E-2</v>
      </c>
      <c r="O347" s="444">
        <f t="shared" si="5"/>
        <v>0</v>
      </c>
      <c r="P347" s="444">
        <f t="shared" si="5"/>
        <v>-7.8740157480314821E-3</v>
      </c>
    </row>
    <row r="348" spans="2:16" x14ac:dyDescent="0.2">
      <c r="B348" s="440" t="s">
        <v>1790</v>
      </c>
      <c r="C348" s="440" t="s">
        <v>1804</v>
      </c>
      <c r="D348" s="440" t="s">
        <v>1806</v>
      </c>
      <c r="E348" s="440">
        <v>32</v>
      </c>
      <c r="F348" s="440">
        <v>0.93</v>
      </c>
      <c r="G348" s="443">
        <v>1</v>
      </c>
      <c r="H348" s="443">
        <v>1.25</v>
      </c>
      <c r="J348" s="440">
        <v>0.96</v>
      </c>
      <c r="K348" s="443">
        <v>1</v>
      </c>
      <c r="L348" s="443">
        <v>1.26</v>
      </c>
      <c r="N348" s="444">
        <f t="shared" si="5"/>
        <v>-3.1249999999999889E-2</v>
      </c>
      <c r="O348" s="444">
        <f t="shared" si="5"/>
        <v>0</v>
      </c>
      <c r="P348" s="444">
        <f t="shared" si="5"/>
        <v>-7.9365079365079083E-3</v>
      </c>
    </row>
    <row r="349" spans="2:16" x14ac:dyDescent="0.2">
      <c r="B349" s="440" t="s">
        <v>1790</v>
      </c>
      <c r="C349" s="440" t="s">
        <v>1804</v>
      </c>
      <c r="D349" s="440" t="s">
        <v>1806</v>
      </c>
      <c r="E349" s="440">
        <v>33</v>
      </c>
      <c r="F349" s="440">
        <v>0.93</v>
      </c>
      <c r="G349" s="443">
        <v>1</v>
      </c>
      <c r="H349" s="443">
        <v>1.24</v>
      </c>
      <c r="J349" s="440">
        <v>0.96</v>
      </c>
      <c r="K349" s="443">
        <v>1</v>
      </c>
      <c r="L349" s="443">
        <v>1.25</v>
      </c>
      <c r="N349" s="444">
        <f t="shared" si="5"/>
        <v>-3.1249999999999889E-2</v>
      </c>
      <c r="O349" s="444">
        <f t="shared" si="5"/>
        <v>0</v>
      </c>
      <c r="P349" s="444">
        <f t="shared" si="5"/>
        <v>-8.0000000000000071E-3</v>
      </c>
    </row>
    <row r="350" spans="2:16" x14ac:dyDescent="0.2">
      <c r="B350" s="440" t="s">
        <v>1790</v>
      </c>
      <c r="C350" s="440" t="s">
        <v>1804</v>
      </c>
      <c r="D350" s="440" t="s">
        <v>1806</v>
      </c>
      <c r="E350" s="440">
        <v>34</v>
      </c>
      <c r="F350" s="440">
        <v>0.93</v>
      </c>
      <c r="G350" s="443">
        <v>1</v>
      </c>
      <c r="H350" s="443">
        <v>1.23</v>
      </c>
      <c r="J350" s="440">
        <v>0.96</v>
      </c>
      <c r="K350" s="443">
        <v>1</v>
      </c>
      <c r="L350" s="443">
        <v>1.24</v>
      </c>
      <c r="N350" s="444">
        <f t="shared" si="5"/>
        <v>-3.1249999999999889E-2</v>
      </c>
      <c r="O350" s="444">
        <f t="shared" si="5"/>
        <v>0</v>
      </c>
      <c r="P350" s="444">
        <f t="shared" si="5"/>
        <v>-8.0645161290322509E-3</v>
      </c>
    </row>
    <row r="351" spans="2:16" x14ac:dyDescent="0.2">
      <c r="B351" s="440" t="s">
        <v>1790</v>
      </c>
      <c r="C351" s="440" t="s">
        <v>1804</v>
      </c>
      <c r="D351" s="440" t="s">
        <v>1806</v>
      </c>
      <c r="E351" s="440">
        <v>35</v>
      </c>
      <c r="F351" s="440">
        <v>0.93</v>
      </c>
      <c r="G351" s="443">
        <v>1</v>
      </c>
      <c r="H351" s="443">
        <v>1.22</v>
      </c>
      <c r="J351" s="440">
        <v>0.96</v>
      </c>
      <c r="K351" s="443">
        <v>1</v>
      </c>
      <c r="L351" s="443">
        <v>1.23</v>
      </c>
      <c r="N351" s="444">
        <f t="shared" si="5"/>
        <v>-3.1249999999999889E-2</v>
      </c>
      <c r="O351" s="444">
        <f t="shared" si="5"/>
        <v>0</v>
      </c>
      <c r="P351" s="444">
        <f t="shared" si="5"/>
        <v>-8.1300813008130524E-3</v>
      </c>
    </row>
    <row r="352" spans="2:16" x14ac:dyDescent="0.2">
      <c r="B352" s="440" t="s">
        <v>1790</v>
      </c>
      <c r="C352" s="440" t="s">
        <v>1804</v>
      </c>
      <c r="D352" s="440" t="s">
        <v>1806</v>
      </c>
      <c r="E352" s="440">
        <v>36</v>
      </c>
      <c r="F352" s="440">
        <v>0.93</v>
      </c>
      <c r="G352" s="443">
        <v>1</v>
      </c>
      <c r="H352" s="443">
        <v>1.21</v>
      </c>
      <c r="J352" s="440">
        <v>0.96</v>
      </c>
      <c r="K352" s="443">
        <v>1</v>
      </c>
      <c r="L352" s="443">
        <v>1.22</v>
      </c>
      <c r="N352" s="444">
        <f t="shared" si="5"/>
        <v>-3.1249999999999889E-2</v>
      </c>
      <c r="O352" s="444">
        <f t="shared" si="5"/>
        <v>0</v>
      </c>
      <c r="P352" s="444">
        <f t="shared" si="5"/>
        <v>-8.1967213114754189E-3</v>
      </c>
    </row>
    <row r="353" spans="2:16" x14ac:dyDescent="0.2">
      <c r="B353" s="440" t="s">
        <v>1790</v>
      </c>
      <c r="C353" s="440" t="s">
        <v>1804</v>
      </c>
      <c r="D353" s="440" t="s">
        <v>1806</v>
      </c>
      <c r="E353" s="440">
        <v>37</v>
      </c>
      <c r="F353" s="440">
        <v>0.93</v>
      </c>
      <c r="G353" s="443">
        <v>1</v>
      </c>
      <c r="H353" s="443">
        <v>1.2</v>
      </c>
      <c r="J353" s="440">
        <v>0.96</v>
      </c>
      <c r="K353" s="443">
        <v>1</v>
      </c>
      <c r="L353" s="443">
        <v>1.21</v>
      </c>
      <c r="N353" s="444">
        <f t="shared" si="5"/>
        <v>-3.1249999999999889E-2</v>
      </c>
      <c r="O353" s="444">
        <f t="shared" si="5"/>
        <v>0</v>
      </c>
      <c r="P353" s="444">
        <f t="shared" si="5"/>
        <v>-8.2644628099173278E-3</v>
      </c>
    </row>
    <row r="354" spans="2:16" x14ac:dyDescent="0.2">
      <c r="B354" s="440" t="s">
        <v>1790</v>
      </c>
      <c r="C354" s="440" t="s">
        <v>1804</v>
      </c>
      <c r="D354" s="440" t="s">
        <v>1806</v>
      </c>
      <c r="E354" s="440">
        <v>38</v>
      </c>
      <c r="F354" s="440">
        <v>0.93</v>
      </c>
      <c r="G354" s="443">
        <v>1</v>
      </c>
      <c r="H354" s="443">
        <v>1.19</v>
      </c>
      <c r="J354" s="440">
        <v>0.96</v>
      </c>
      <c r="K354" s="443">
        <v>1</v>
      </c>
      <c r="L354" s="443">
        <v>1.2</v>
      </c>
      <c r="N354" s="444">
        <f t="shared" si="5"/>
        <v>-3.1249999999999889E-2</v>
      </c>
      <c r="O354" s="444">
        <f t="shared" si="5"/>
        <v>0</v>
      </c>
      <c r="P354" s="444">
        <f t="shared" si="5"/>
        <v>-8.3333333333333037E-3</v>
      </c>
    </row>
    <row r="355" spans="2:16" x14ac:dyDescent="0.2">
      <c r="B355" s="440" t="s">
        <v>1790</v>
      </c>
      <c r="C355" s="440" t="s">
        <v>1804</v>
      </c>
      <c r="D355" s="440" t="s">
        <v>1806</v>
      </c>
      <c r="E355" s="440">
        <v>39</v>
      </c>
      <c r="F355" s="440">
        <v>0.93</v>
      </c>
      <c r="G355" s="443">
        <v>1</v>
      </c>
      <c r="H355" s="443">
        <v>1.18</v>
      </c>
      <c r="J355" s="440">
        <v>0.96</v>
      </c>
      <c r="K355" s="443">
        <v>1</v>
      </c>
      <c r="L355" s="443">
        <v>1.19</v>
      </c>
      <c r="N355" s="444">
        <f t="shared" si="5"/>
        <v>-3.1249999999999889E-2</v>
      </c>
      <c r="O355" s="444">
        <f t="shared" si="5"/>
        <v>0</v>
      </c>
      <c r="P355" s="444">
        <f t="shared" si="5"/>
        <v>-8.4033613445377853E-3</v>
      </c>
    </row>
    <row r="356" spans="2:16" x14ac:dyDescent="0.2">
      <c r="B356" s="440" t="s">
        <v>1790</v>
      </c>
      <c r="C356" s="440" t="s">
        <v>1804</v>
      </c>
      <c r="D356" s="440" t="s">
        <v>1806</v>
      </c>
      <c r="E356" s="440">
        <v>40</v>
      </c>
      <c r="F356" s="440">
        <v>0.93</v>
      </c>
      <c r="G356" s="443">
        <v>1</v>
      </c>
      <c r="H356" s="443">
        <v>1.17</v>
      </c>
      <c r="J356" s="440">
        <v>0.96</v>
      </c>
      <c r="K356" s="443">
        <v>1</v>
      </c>
      <c r="L356" s="443">
        <v>1.18</v>
      </c>
      <c r="N356" s="444">
        <f t="shared" si="5"/>
        <v>-3.1249999999999889E-2</v>
      </c>
      <c r="O356" s="444">
        <f t="shared" si="5"/>
        <v>0</v>
      </c>
      <c r="P356" s="444">
        <f t="shared" si="5"/>
        <v>-8.4745762711864181E-3</v>
      </c>
    </row>
    <row r="357" spans="2:16" x14ac:dyDescent="0.2">
      <c r="B357" s="440" t="s">
        <v>1790</v>
      </c>
      <c r="C357" s="440" t="s">
        <v>1804</v>
      </c>
      <c r="D357" s="440" t="s">
        <v>1806</v>
      </c>
      <c r="E357" s="440">
        <v>41</v>
      </c>
      <c r="F357" s="440">
        <v>0.93</v>
      </c>
      <c r="G357" s="443">
        <v>1</v>
      </c>
      <c r="H357" s="443">
        <v>1.1599999999999999</v>
      </c>
      <c r="J357" s="440">
        <v>0.96</v>
      </c>
      <c r="K357" s="443">
        <v>1</v>
      </c>
      <c r="L357" s="443">
        <v>1.17</v>
      </c>
      <c r="N357" s="444">
        <f t="shared" si="5"/>
        <v>-3.1249999999999889E-2</v>
      </c>
      <c r="O357" s="444">
        <f t="shared" si="5"/>
        <v>0</v>
      </c>
      <c r="P357" s="444">
        <f t="shared" si="5"/>
        <v>-8.5470085470085166E-3</v>
      </c>
    </row>
    <row r="358" spans="2:16" x14ac:dyDescent="0.2">
      <c r="B358" s="440" t="s">
        <v>1790</v>
      </c>
      <c r="C358" s="440" t="s">
        <v>1804</v>
      </c>
      <c r="D358" s="440" t="s">
        <v>1806</v>
      </c>
      <c r="E358" s="440">
        <v>42</v>
      </c>
      <c r="F358" s="440">
        <v>0.93</v>
      </c>
      <c r="G358" s="443">
        <v>1</v>
      </c>
      <c r="H358" s="443">
        <v>1.1499999999999999</v>
      </c>
      <c r="J358" s="440">
        <v>0.96</v>
      </c>
      <c r="K358" s="443">
        <v>1</v>
      </c>
      <c r="L358" s="443">
        <v>1.1599999999999999</v>
      </c>
      <c r="N358" s="444">
        <f t="shared" si="5"/>
        <v>-3.1249999999999889E-2</v>
      </c>
      <c r="O358" s="444">
        <f t="shared" si="5"/>
        <v>0</v>
      </c>
      <c r="P358" s="444">
        <f t="shared" si="5"/>
        <v>-8.6206896551723755E-3</v>
      </c>
    </row>
    <row r="359" spans="2:16" x14ac:dyDescent="0.2">
      <c r="B359" s="440" t="s">
        <v>1790</v>
      </c>
      <c r="C359" s="440" t="s">
        <v>1804</v>
      </c>
      <c r="D359" s="440" t="s">
        <v>1806</v>
      </c>
      <c r="E359" s="440">
        <v>43</v>
      </c>
      <c r="F359" s="440">
        <v>0.93</v>
      </c>
      <c r="G359" s="443">
        <v>1</v>
      </c>
      <c r="H359" s="443">
        <v>1.1399999999999999</v>
      </c>
      <c r="J359" s="440">
        <v>0.96</v>
      </c>
      <c r="K359" s="443">
        <v>1</v>
      </c>
      <c r="L359" s="443">
        <v>1.1499999999999999</v>
      </c>
      <c r="N359" s="444">
        <f t="shared" si="5"/>
        <v>-3.1249999999999889E-2</v>
      </c>
      <c r="O359" s="444">
        <f t="shared" si="5"/>
        <v>0</v>
      </c>
      <c r="P359" s="444">
        <f t="shared" si="5"/>
        <v>-8.6956521739131043E-3</v>
      </c>
    </row>
    <row r="360" spans="2:16" x14ac:dyDescent="0.2">
      <c r="B360" s="440" t="s">
        <v>1790</v>
      </c>
      <c r="C360" s="440" t="s">
        <v>1804</v>
      </c>
      <c r="D360" s="440" t="s">
        <v>1806</v>
      </c>
      <c r="E360" s="440">
        <v>44</v>
      </c>
      <c r="F360" s="440">
        <v>0.93</v>
      </c>
      <c r="G360" s="443">
        <v>1</v>
      </c>
      <c r="H360" s="443">
        <v>1.1299999999999999</v>
      </c>
      <c r="J360" s="440">
        <v>0.96</v>
      </c>
      <c r="K360" s="443">
        <v>1</v>
      </c>
      <c r="L360" s="443">
        <v>1.1399999999999999</v>
      </c>
      <c r="N360" s="444">
        <f t="shared" si="5"/>
        <v>-3.1249999999999889E-2</v>
      </c>
      <c r="O360" s="444">
        <f t="shared" si="5"/>
        <v>0</v>
      </c>
      <c r="P360" s="444">
        <f t="shared" si="5"/>
        <v>-8.7719298245614308E-3</v>
      </c>
    </row>
    <row r="361" spans="2:16" x14ac:dyDescent="0.2">
      <c r="B361" s="440" t="s">
        <v>1790</v>
      </c>
      <c r="C361" s="440" t="s">
        <v>1804</v>
      </c>
      <c r="D361" s="440" t="s">
        <v>1806</v>
      </c>
      <c r="E361" s="440">
        <v>45</v>
      </c>
      <c r="F361" s="440">
        <v>0.93</v>
      </c>
      <c r="G361" s="443">
        <v>1</v>
      </c>
      <c r="H361" s="443">
        <v>1.1200000000000001</v>
      </c>
      <c r="J361" s="440">
        <v>0.96</v>
      </c>
      <c r="K361" s="443">
        <v>1</v>
      </c>
      <c r="L361" s="443">
        <v>1.1299999999999999</v>
      </c>
      <c r="N361" s="444">
        <f t="shared" si="5"/>
        <v>-3.1249999999999889E-2</v>
      </c>
      <c r="O361" s="444">
        <f t="shared" si="5"/>
        <v>0</v>
      </c>
      <c r="P361" s="444">
        <f t="shared" si="5"/>
        <v>-8.8495575221236855E-3</v>
      </c>
    </row>
    <row r="362" spans="2:16" x14ac:dyDescent="0.2">
      <c r="B362" s="440" t="s">
        <v>1790</v>
      </c>
      <c r="C362" s="440" t="s">
        <v>1804</v>
      </c>
      <c r="D362" s="440" t="s">
        <v>1806</v>
      </c>
      <c r="E362" s="440">
        <v>46</v>
      </c>
      <c r="F362" s="440">
        <v>0.93</v>
      </c>
      <c r="G362" s="443">
        <v>1</v>
      </c>
      <c r="H362" s="443">
        <v>1.1100000000000001</v>
      </c>
      <c r="J362" s="440">
        <v>0.96</v>
      </c>
      <c r="K362" s="443">
        <v>1</v>
      </c>
      <c r="L362" s="443">
        <v>1.1200000000000001</v>
      </c>
      <c r="N362" s="444">
        <f t="shared" si="5"/>
        <v>-3.1249999999999889E-2</v>
      </c>
      <c r="O362" s="444">
        <f t="shared" si="5"/>
        <v>0</v>
      </c>
      <c r="P362" s="444">
        <f t="shared" si="5"/>
        <v>-8.9285714285713969E-3</v>
      </c>
    </row>
    <row r="363" spans="2:16" x14ac:dyDescent="0.2">
      <c r="B363" s="440" t="s">
        <v>1790</v>
      </c>
      <c r="C363" s="440" t="s">
        <v>1804</v>
      </c>
      <c r="D363" s="440" t="s">
        <v>1806</v>
      </c>
      <c r="E363" s="440">
        <v>47</v>
      </c>
      <c r="F363" s="440">
        <v>0.93</v>
      </c>
      <c r="G363" s="443">
        <v>1</v>
      </c>
      <c r="H363" s="443">
        <v>1.1000000000000001</v>
      </c>
      <c r="J363" s="440">
        <v>0.96</v>
      </c>
      <c r="K363" s="443">
        <v>1</v>
      </c>
      <c r="L363" s="443">
        <v>1.1100000000000001</v>
      </c>
      <c r="N363" s="444">
        <f t="shared" si="5"/>
        <v>-3.1249999999999889E-2</v>
      </c>
      <c r="O363" s="444">
        <f t="shared" si="5"/>
        <v>0</v>
      </c>
      <c r="P363" s="444">
        <f t="shared" si="5"/>
        <v>-9.009009009009028E-3</v>
      </c>
    </row>
    <row r="364" spans="2:16" x14ac:dyDescent="0.2">
      <c r="B364" s="440" t="s">
        <v>1790</v>
      </c>
      <c r="C364" s="440" t="s">
        <v>1804</v>
      </c>
      <c r="D364" s="440" t="s">
        <v>1806</v>
      </c>
      <c r="E364" s="440">
        <v>48</v>
      </c>
      <c r="F364" s="440">
        <v>0.93</v>
      </c>
      <c r="G364" s="443">
        <v>1</v>
      </c>
      <c r="H364" s="443">
        <v>1.0900000000000001</v>
      </c>
      <c r="J364" s="440">
        <v>0.96</v>
      </c>
      <c r="K364" s="443">
        <v>1</v>
      </c>
      <c r="L364" s="443">
        <v>1.1000000000000001</v>
      </c>
      <c r="N364" s="444">
        <f t="shared" si="5"/>
        <v>-3.1249999999999889E-2</v>
      </c>
      <c r="O364" s="444">
        <f t="shared" si="5"/>
        <v>0</v>
      </c>
      <c r="P364" s="444">
        <f t="shared" si="5"/>
        <v>-9.0909090909091494E-3</v>
      </c>
    </row>
    <row r="365" spans="2:16" x14ac:dyDescent="0.2">
      <c r="B365" s="440" t="s">
        <v>1790</v>
      </c>
      <c r="C365" s="440" t="s">
        <v>1804</v>
      </c>
      <c r="D365" s="440" t="s">
        <v>1806</v>
      </c>
      <c r="E365" s="440">
        <v>49</v>
      </c>
      <c r="F365" s="440">
        <v>0.93</v>
      </c>
      <c r="G365" s="443">
        <v>1</v>
      </c>
      <c r="H365" s="443">
        <v>1.0900000000000001</v>
      </c>
      <c r="J365" s="440">
        <v>0.96</v>
      </c>
      <c r="K365" s="443">
        <v>1</v>
      </c>
      <c r="L365" s="443">
        <v>1.1000000000000001</v>
      </c>
      <c r="N365" s="444">
        <f t="shared" si="5"/>
        <v>-3.1249999999999889E-2</v>
      </c>
      <c r="O365" s="444">
        <f t="shared" si="5"/>
        <v>0</v>
      </c>
      <c r="P365" s="444">
        <f t="shared" si="5"/>
        <v>-9.0909090909091494E-3</v>
      </c>
    </row>
    <row r="366" spans="2:16" x14ac:dyDescent="0.2">
      <c r="B366" s="440" t="s">
        <v>1790</v>
      </c>
      <c r="C366" s="440" t="s">
        <v>1804</v>
      </c>
      <c r="D366" s="440" t="s">
        <v>1806</v>
      </c>
      <c r="E366" s="440">
        <v>50</v>
      </c>
      <c r="F366" s="440">
        <v>0.93</v>
      </c>
      <c r="G366" s="443">
        <v>1</v>
      </c>
      <c r="H366" s="443">
        <v>1.08</v>
      </c>
      <c r="J366" s="440">
        <v>0.96</v>
      </c>
      <c r="K366" s="443">
        <v>1</v>
      </c>
      <c r="L366" s="443">
        <v>1.0900000000000001</v>
      </c>
      <c r="N366" s="444">
        <f t="shared" si="5"/>
        <v>-3.1249999999999889E-2</v>
      </c>
      <c r="O366" s="444">
        <f t="shared" si="5"/>
        <v>0</v>
      </c>
      <c r="P366" s="444">
        <f t="shared" si="5"/>
        <v>-9.1743119266055606E-3</v>
      </c>
    </row>
    <row r="367" spans="2:16" x14ac:dyDescent="0.2">
      <c r="B367" s="440" t="s">
        <v>1790</v>
      </c>
      <c r="C367" s="440" t="s">
        <v>1804</v>
      </c>
      <c r="D367" s="440" t="s">
        <v>1806</v>
      </c>
      <c r="E367" s="440">
        <v>51</v>
      </c>
      <c r="F367" s="440">
        <v>0.93</v>
      </c>
      <c r="G367" s="443">
        <v>1</v>
      </c>
      <c r="H367" s="443">
        <v>1.08</v>
      </c>
      <c r="J367" s="440">
        <v>0.96</v>
      </c>
      <c r="K367" s="443">
        <v>1</v>
      </c>
      <c r="L367" s="443">
        <v>1.0900000000000001</v>
      </c>
      <c r="N367" s="444">
        <f t="shared" si="5"/>
        <v>-3.1249999999999889E-2</v>
      </c>
      <c r="O367" s="444">
        <f t="shared" si="5"/>
        <v>0</v>
      </c>
      <c r="P367" s="444">
        <f t="shared" si="5"/>
        <v>-9.1743119266055606E-3</v>
      </c>
    </row>
    <row r="368" spans="2:16" x14ac:dyDescent="0.2">
      <c r="B368" s="440" t="s">
        <v>1790</v>
      </c>
      <c r="C368" s="440" t="s">
        <v>1804</v>
      </c>
      <c r="D368" s="440" t="s">
        <v>1806</v>
      </c>
      <c r="E368" s="440">
        <v>52</v>
      </c>
      <c r="F368" s="440">
        <v>0.93</v>
      </c>
      <c r="G368" s="443">
        <v>1</v>
      </c>
      <c r="H368" s="443">
        <v>1.07</v>
      </c>
      <c r="J368" s="440">
        <v>0.96</v>
      </c>
      <c r="K368" s="443">
        <v>1</v>
      </c>
      <c r="L368" s="443">
        <v>1.08</v>
      </c>
      <c r="N368" s="444">
        <f t="shared" si="5"/>
        <v>-3.1249999999999889E-2</v>
      </c>
      <c r="O368" s="444">
        <f t="shared" si="5"/>
        <v>0</v>
      </c>
      <c r="P368" s="444">
        <f t="shared" si="5"/>
        <v>-9.2592592592593004E-3</v>
      </c>
    </row>
    <row r="369" spans="2:16" x14ac:dyDescent="0.2">
      <c r="B369" s="440" t="s">
        <v>1790</v>
      </c>
      <c r="C369" s="440" t="s">
        <v>1804</v>
      </c>
      <c r="D369" s="440" t="s">
        <v>1806</v>
      </c>
      <c r="E369" s="440">
        <v>53</v>
      </c>
      <c r="F369" s="440">
        <v>0.93</v>
      </c>
      <c r="G369" s="443">
        <v>1</v>
      </c>
      <c r="H369" s="443">
        <v>1.07</v>
      </c>
      <c r="J369" s="440">
        <v>0.96</v>
      </c>
      <c r="K369" s="443">
        <v>1</v>
      </c>
      <c r="L369" s="443">
        <v>1.08</v>
      </c>
      <c r="N369" s="444">
        <f t="shared" si="5"/>
        <v>-3.1249999999999889E-2</v>
      </c>
      <c r="O369" s="444">
        <f t="shared" si="5"/>
        <v>0</v>
      </c>
      <c r="P369" s="444">
        <f t="shared" si="5"/>
        <v>-9.2592592592593004E-3</v>
      </c>
    </row>
    <row r="370" spans="2:16" x14ac:dyDescent="0.2">
      <c r="B370" s="440" t="s">
        <v>1790</v>
      </c>
      <c r="C370" s="440" t="s">
        <v>1804</v>
      </c>
      <c r="D370" s="440" t="s">
        <v>1806</v>
      </c>
      <c r="E370" s="440">
        <v>54</v>
      </c>
      <c r="F370" s="440">
        <v>0.93</v>
      </c>
      <c r="G370" s="443">
        <v>1</v>
      </c>
      <c r="H370" s="443">
        <v>1.06</v>
      </c>
      <c r="J370" s="440">
        <v>0.96</v>
      </c>
      <c r="K370" s="443">
        <v>1</v>
      </c>
      <c r="L370" s="443">
        <v>1.07</v>
      </c>
      <c r="N370" s="444">
        <f t="shared" si="5"/>
        <v>-3.1249999999999889E-2</v>
      </c>
      <c r="O370" s="444">
        <f t="shared" si="5"/>
        <v>0</v>
      </c>
      <c r="P370" s="444">
        <f t="shared" si="5"/>
        <v>-9.3457943925233655E-3</v>
      </c>
    </row>
    <row r="371" spans="2:16" x14ac:dyDescent="0.2">
      <c r="B371" s="440" t="s">
        <v>1790</v>
      </c>
      <c r="C371" s="440" t="s">
        <v>1804</v>
      </c>
      <c r="D371" s="440" t="s">
        <v>1806</v>
      </c>
      <c r="E371" s="440">
        <v>55</v>
      </c>
      <c r="F371" s="440">
        <v>0.93</v>
      </c>
      <c r="G371" s="443">
        <v>1</v>
      </c>
      <c r="H371" s="443">
        <v>1.06</v>
      </c>
      <c r="J371" s="440">
        <v>0.96</v>
      </c>
      <c r="K371" s="443">
        <v>1</v>
      </c>
      <c r="L371" s="443">
        <v>1.07</v>
      </c>
      <c r="N371" s="444">
        <f t="shared" si="5"/>
        <v>-3.1249999999999889E-2</v>
      </c>
      <c r="O371" s="444">
        <f t="shared" si="5"/>
        <v>0</v>
      </c>
      <c r="P371" s="444">
        <f t="shared" si="5"/>
        <v>-9.3457943925233655E-3</v>
      </c>
    </row>
    <row r="372" spans="2:16" x14ac:dyDescent="0.2">
      <c r="B372" s="440" t="s">
        <v>1790</v>
      </c>
      <c r="C372" s="440" t="s">
        <v>1804</v>
      </c>
      <c r="D372" s="440" t="s">
        <v>1806</v>
      </c>
      <c r="E372" s="440">
        <v>56</v>
      </c>
      <c r="F372" s="440">
        <v>0.93</v>
      </c>
      <c r="G372" s="443">
        <v>1</v>
      </c>
      <c r="H372" s="443">
        <v>1.05</v>
      </c>
      <c r="J372" s="440">
        <v>0.96</v>
      </c>
      <c r="K372" s="443">
        <v>1</v>
      </c>
      <c r="L372" s="443">
        <v>1.06</v>
      </c>
      <c r="N372" s="444">
        <f t="shared" si="5"/>
        <v>-3.1249999999999889E-2</v>
      </c>
      <c r="O372" s="444">
        <f t="shared" si="5"/>
        <v>0</v>
      </c>
      <c r="P372" s="444">
        <f t="shared" si="5"/>
        <v>-9.4339622641509413E-3</v>
      </c>
    </row>
    <row r="373" spans="2:16" x14ac:dyDescent="0.2">
      <c r="B373" s="440" t="s">
        <v>1790</v>
      </c>
      <c r="C373" s="440" t="s">
        <v>1804</v>
      </c>
      <c r="D373" s="440" t="s">
        <v>1806</v>
      </c>
      <c r="E373" s="440">
        <v>57</v>
      </c>
      <c r="F373" s="440">
        <v>0.93</v>
      </c>
      <c r="G373" s="443">
        <v>1</v>
      </c>
      <c r="H373" s="443">
        <v>1.05</v>
      </c>
      <c r="J373" s="440">
        <v>0.96</v>
      </c>
      <c r="K373" s="443">
        <v>1</v>
      </c>
      <c r="L373" s="443">
        <v>1.06</v>
      </c>
      <c r="N373" s="444">
        <f t="shared" si="5"/>
        <v>-3.1249999999999889E-2</v>
      </c>
      <c r="O373" s="444">
        <f t="shared" si="5"/>
        <v>0</v>
      </c>
      <c r="P373" s="444">
        <f t="shared" si="5"/>
        <v>-9.4339622641509413E-3</v>
      </c>
    </row>
    <row r="374" spans="2:16" x14ac:dyDescent="0.2">
      <c r="B374" s="440" t="s">
        <v>1790</v>
      </c>
      <c r="C374" s="440" t="s">
        <v>1804</v>
      </c>
      <c r="D374" s="440" t="s">
        <v>1806</v>
      </c>
      <c r="E374" s="440">
        <v>58</v>
      </c>
      <c r="F374" s="440">
        <v>0.93</v>
      </c>
      <c r="G374" s="443">
        <v>1</v>
      </c>
      <c r="H374" s="443">
        <v>1.05</v>
      </c>
      <c r="J374" s="440">
        <v>0.96</v>
      </c>
      <c r="K374" s="443">
        <v>1</v>
      </c>
      <c r="L374" s="443">
        <v>1.05</v>
      </c>
      <c r="N374" s="444">
        <f t="shared" si="5"/>
        <v>-3.1249999999999889E-2</v>
      </c>
      <c r="O374" s="444">
        <f t="shared" si="5"/>
        <v>0</v>
      </c>
      <c r="P374" s="444">
        <f t="shared" si="5"/>
        <v>0</v>
      </c>
    </row>
    <row r="375" spans="2:16" x14ac:dyDescent="0.2">
      <c r="B375" s="440" t="s">
        <v>1790</v>
      </c>
      <c r="C375" s="440" t="s">
        <v>1804</v>
      </c>
      <c r="D375" s="440" t="s">
        <v>1806</v>
      </c>
      <c r="E375" s="440">
        <v>59</v>
      </c>
      <c r="F375" s="440">
        <v>0.93</v>
      </c>
      <c r="G375" s="443">
        <v>1</v>
      </c>
      <c r="H375" s="443">
        <v>1.04</v>
      </c>
      <c r="J375" s="440">
        <v>0.96</v>
      </c>
      <c r="K375" s="443">
        <v>1</v>
      </c>
      <c r="L375" s="443">
        <v>1.05</v>
      </c>
      <c r="N375" s="444">
        <f t="shared" si="5"/>
        <v>-3.1249999999999889E-2</v>
      </c>
      <c r="O375" s="444">
        <f t="shared" si="5"/>
        <v>0</v>
      </c>
      <c r="P375" s="444">
        <f t="shared" si="5"/>
        <v>-9.52380952380949E-3</v>
      </c>
    </row>
    <row r="376" spans="2:16" x14ac:dyDescent="0.2">
      <c r="B376" s="440" t="s">
        <v>1790</v>
      </c>
      <c r="C376" s="440" t="s">
        <v>1804</v>
      </c>
      <c r="D376" s="440" t="s">
        <v>1806</v>
      </c>
      <c r="E376" s="440">
        <v>60</v>
      </c>
      <c r="F376" s="440">
        <v>0.93</v>
      </c>
      <c r="G376" s="443">
        <v>1</v>
      </c>
      <c r="H376" s="443">
        <v>1.04</v>
      </c>
      <c r="J376" s="440">
        <v>0.96</v>
      </c>
      <c r="K376" s="443">
        <v>1</v>
      </c>
      <c r="L376" s="443">
        <v>1.05</v>
      </c>
      <c r="N376" s="444">
        <f t="shared" si="5"/>
        <v>-3.1249999999999889E-2</v>
      </c>
      <c r="O376" s="444">
        <f t="shared" si="5"/>
        <v>0</v>
      </c>
      <c r="P376" s="444">
        <f t="shared" si="5"/>
        <v>-9.52380952380949E-3</v>
      </c>
    </row>
    <row r="377" spans="2:16" x14ac:dyDescent="0.2">
      <c r="B377" s="440" t="s">
        <v>1790</v>
      </c>
      <c r="C377" s="440" t="s">
        <v>1804</v>
      </c>
      <c r="D377" s="440" t="s">
        <v>1806</v>
      </c>
      <c r="E377" s="440">
        <v>61</v>
      </c>
      <c r="F377" s="440">
        <v>0.93</v>
      </c>
      <c r="G377" s="443">
        <v>1</v>
      </c>
      <c r="H377" s="443">
        <v>1.04</v>
      </c>
      <c r="J377" s="440">
        <v>0.96</v>
      </c>
      <c r="K377" s="443">
        <v>1</v>
      </c>
      <c r="L377" s="443">
        <v>1.04</v>
      </c>
      <c r="N377" s="444">
        <f t="shared" si="5"/>
        <v>-3.1249999999999889E-2</v>
      </c>
      <c r="O377" s="444">
        <f t="shared" si="5"/>
        <v>0</v>
      </c>
      <c r="P377" s="444">
        <f t="shared" si="5"/>
        <v>0</v>
      </c>
    </row>
    <row r="378" spans="2:16" x14ac:dyDescent="0.2">
      <c r="B378" s="440" t="s">
        <v>1790</v>
      </c>
      <c r="C378" s="440" t="s">
        <v>1804</v>
      </c>
      <c r="D378" s="440" t="s">
        <v>1806</v>
      </c>
      <c r="E378" s="440">
        <v>62</v>
      </c>
      <c r="F378" s="440">
        <v>0.93</v>
      </c>
      <c r="G378" s="443">
        <v>1</v>
      </c>
      <c r="H378" s="443">
        <v>1.03</v>
      </c>
      <c r="J378" s="440">
        <v>0.96</v>
      </c>
      <c r="K378" s="443">
        <v>1</v>
      </c>
      <c r="L378" s="443">
        <v>1.04</v>
      </c>
      <c r="N378" s="444">
        <f t="shared" si="5"/>
        <v>-3.1249999999999889E-2</v>
      </c>
      <c r="O378" s="444">
        <f t="shared" si="5"/>
        <v>0</v>
      </c>
      <c r="P378" s="444">
        <f t="shared" si="5"/>
        <v>-9.6153846153845812E-3</v>
      </c>
    </row>
    <row r="379" spans="2:16" x14ac:dyDescent="0.2">
      <c r="B379" s="440" t="s">
        <v>1790</v>
      </c>
      <c r="C379" s="440" t="s">
        <v>1804</v>
      </c>
      <c r="D379" s="440" t="s">
        <v>1806</v>
      </c>
      <c r="E379" s="440">
        <v>63</v>
      </c>
      <c r="F379" s="440">
        <v>0.93</v>
      </c>
      <c r="G379" s="443">
        <v>1</v>
      </c>
      <c r="H379" s="443">
        <v>1.03</v>
      </c>
      <c r="J379" s="440">
        <v>0.96</v>
      </c>
      <c r="K379" s="443">
        <v>1</v>
      </c>
      <c r="L379" s="443">
        <v>1.04</v>
      </c>
      <c r="N379" s="444">
        <f t="shared" si="5"/>
        <v>-3.1249999999999889E-2</v>
      </c>
      <c r="O379" s="444">
        <f t="shared" si="5"/>
        <v>0</v>
      </c>
      <c r="P379" s="444">
        <f t="shared" si="5"/>
        <v>-9.6153846153845812E-3</v>
      </c>
    </row>
    <row r="380" spans="2:16" x14ac:dyDescent="0.2">
      <c r="B380" s="440" t="s">
        <v>1790</v>
      </c>
      <c r="C380" s="440" t="s">
        <v>1804</v>
      </c>
      <c r="D380" s="440" t="s">
        <v>1806</v>
      </c>
      <c r="E380" s="440">
        <v>64</v>
      </c>
      <c r="F380" s="440">
        <v>0.93</v>
      </c>
      <c r="G380" s="443">
        <v>1</v>
      </c>
      <c r="H380" s="443">
        <v>1.03</v>
      </c>
      <c r="J380" s="440">
        <v>0.96</v>
      </c>
      <c r="K380" s="443">
        <v>1</v>
      </c>
      <c r="L380" s="443">
        <v>1.03</v>
      </c>
      <c r="N380" s="444">
        <f t="shared" si="5"/>
        <v>-3.1249999999999889E-2</v>
      </c>
      <c r="O380" s="444">
        <f t="shared" si="5"/>
        <v>0</v>
      </c>
      <c r="P380" s="444">
        <f t="shared" si="5"/>
        <v>0</v>
      </c>
    </row>
    <row r="381" spans="2:16" x14ac:dyDescent="0.2">
      <c r="B381" s="440" t="s">
        <v>1790</v>
      </c>
      <c r="C381" s="440" t="s">
        <v>1804</v>
      </c>
      <c r="D381" s="440" t="s">
        <v>1806</v>
      </c>
      <c r="E381" s="440">
        <v>65</v>
      </c>
      <c r="F381" s="440">
        <v>0.93</v>
      </c>
      <c r="G381" s="443">
        <v>1</v>
      </c>
      <c r="H381" s="443">
        <v>1.02</v>
      </c>
      <c r="J381" s="440">
        <v>0.96</v>
      </c>
      <c r="K381" s="443">
        <v>1</v>
      </c>
      <c r="L381" s="443">
        <v>1.03</v>
      </c>
      <c r="N381" s="444">
        <f t="shared" si="5"/>
        <v>-3.1249999999999889E-2</v>
      </c>
      <c r="O381" s="444">
        <f t="shared" si="5"/>
        <v>0</v>
      </c>
      <c r="P381" s="444">
        <f t="shared" si="5"/>
        <v>-9.7087378640776656E-3</v>
      </c>
    </row>
    <row r="382" spans="2:16" x14ac:dyDescent="0.2">
      <c r="B382" s="440" t="s">
        <v>1790</v>
      </c>
      <c r="C382" s="440" t="s">
        <v>1804</v>
      </c>
      <c r="D382" s="440" t="s">
        <v>1806</v>
      </c>
      <c r="E382" s="440">
        <v>66</v>
      </c>
      <c r="F382" s="440">
        <v>0.93</v>
      </c>
      <c r="G382" s="443">
        <v>1</v>
      </c>
      <c r="H382" s="443">
        <v>1.02</v>
      </c>
      <c r="J382" s="440">
        <v>0.96</v>
      </c>
      <c r="K382" s="443">
        <v>1</v>
      </c>
      <c r="L382" s="443">
        <v>1.03</v>
      </c>
      <c r="N382" s="444">
        <f t="shared" si="5"/>
        <v>-3.1249999999999889E-2</v>
      </c>
      <c r="O382" s="444">
        <f t="shared" si="5"/>
        <v>0</v>
      </c>
      <c r="P382" s="444">
        <f t="shared" si="5"/>
        <v>-9.7087378640776656E-3</v>
      </c>
    </row>
    <row r="383" spans="2:16" x14ac:dyDescent="0.2">
      <c r="B383" s="440" t="s">
        <v>1790</v>
      </c>
      <c r="C383" s="440" t="s">
        <v>1804</v>
      </c>
      <c r="D383" s="440" t="s">
        <v>1806</v>
      </c>
      <c r="E383" s="440">
        <v>67</v>
      </c>
      <c r="F383" s="440">
        <v>0.93</v>
      </c>
      <c r="G383" s="443">
        <v>1</v>
      </c>
      <c r="H383" s="443">
        <v>1.02</v>
      </c>
      <c r="J383" s="440">
        <v>0.96</v>
      </c>
      <c r="K383" s="443">
        <v>1</v>
      </c>
      <c r="L383" s="443">
        <v>1.02</v>
      </c>
      <c r="N383" s="444">
        <f t="shared" si="5"/>
        <v>-3.1249999999999889E-2</v>
      </c>
      <c r="O383" s="444">
        <f t="shared" si="5"/>
        <v>0</v>
      </c>
      <c r="P383" s="444">
        <f t="shared" si="5"/>
        <v>0</v>
      </c>
    </row>
    <row r="384" spans="2:16" x14ac:dyDescent="0.2">
      <c r="B384" s="440" t="s">
        <v>1790</v>
      </c>
      <c r="C384" s="440" t="s">
        <v>1804</v>
      </c>
      <c r="D384" s="440" t="s">
        <v>1806</v>
      </c>
      <c r="E384" s="440">
        <v>68</v>
      </c>
      <c r="F384" s="440">
        <v>0.93</v>
      </c>
      <c r="G384" s="443">
        <v>1</v>
      </c>
      <c r="H384" s="443">
        <v>1.02</v>
      </c>
      <c r="J384" s="440">
        <v>0.96</v>
      </c>
      <c r="K384" s="443">
        <v>1</v>
      </c>
      <c r="L384" s="443">
        <v>1.02</v>
      </c>
      <c r="N384" s="444">
        <f t="shared" si="5"/>
        <v>-3.1249999999999889E-2</v>
      </c>
      <c r="O384" s="444">
        <f t="shared" si="5"/>
        <v>0</v>
      </c>
      <c r="P384" s="444">
        <f t="shared" si="5"/>
        <v>0</v>
      </c>
    </row>
    <row r="385" spans="2:16" x14ac:dyDescent="0.2">
      <c r="B385" s="440" t="s">
        <v>1790</v>
      </c>
      <c r="C385" s="440" t="s">
        <v>1804</v>
      </c>
      <c r="D385" s="440" t="s">
        <v>1806</v>
      </c>
      <c r="E385" s="440">
        <v>69</v>
      </c>
      <c r="F385" s="440">
        <v>0.93</v>
      </c>
      <c r="G385" s="443">
        <v>1</v>
      </c>
      <c r="H385" s="443">
        <v>1.01</v>
      </c>
      <c r="J385" s="440">
        <v>0.96</v>
      </c>
      <c r="K385" s="443">
        <v>1</v>
      </c>
      <c r="L385" s="443">
        <v>1.02</v>
      </c>
      <c r="N385" s="444">
        <f t="shared" si="5"/>
        <v>-3.1249999999999889E-2</v>
      </c>
      <c r="O385" s="444">
        <f t="shared" si="5"/>
        <v>0</v>
      </c>
      <c r="P385" s="444">
        <f t="shared" si="5"/>
        <v>-9.8039215686274161E-3</v>
      </c>
    </row>
    <row r="386" spans="2:16" x14ac:dyDescent="0.2">
      <c r="B386" s="440" t="s">
        <v>1790</v>
      </c>
      <c r="C386" s="440" t="s">
        <v>1804</v>
      </c>
      <c r="D386" s="440" t="s">
        <v>1806</v>
      </c>
      <c r="E386" s="440">
        <v>70</v>
      </c>
      <c r="F386" s="440">
        <v>0.93</v>
      </c>
      <c r="G386" s="443">
        <v>1</v>
      </c>
      <c r="H386" s="443">
        <v>1.01</v>
      </c>
      <c r="J386" s="440">
        <v>0.96</v>
      </c>
      <c r="K386" s="443">
        <v>1</v>
      </c>
      <c r="L386" s="443">
        <v>1.01</v>
      </c>
      <c r="N386" s="444">
        <f t="shared" si="5"/>
        <v>-3.1249999999999889E-2</v>
      </c>
      <c r="O386" s="444">
        <f t="shared" si="5"/>
        <v>0</v>
      </c>
      <c r="P386" s="444">
        <f t="shared" si="5"/>
        <v>0</v>
      </c>
    </row>
    <row r="387" spans="2:16" x14ac:dyDescent="0.2">
      <c r="B387" s="440" t="s">
        <v>1790</v>
      </c>
      <c r="C387" s="440" t="s">
        <v>1804</v>
      </c>
      <c r="D387" s="440" t="s">
        <v>1806</v>
      </c>
      <c r="E387" s="440">
        <v>71</v>
      </c>
      <c r="F387" s="440">
        <v>0.93</v>
      </c>
      <c r="G387" s="443">
        <v>1</v>
      </c>
      <c r="H387" s="443">
        <v>1.01</v>
      </c>
      <c r="J387" s="440">
        <v>0.96</v>
      </c>
      <c r="K387" s="443">
        <v>1</v>
      </c>
      <c r="L387" s="443">
        <v>1.01</v>
      </c>
      <c r="N387" s="444">
        <f t="shared" si="5"/>
        <v>-3.1249999999999889E-2</v>
      </c>
      <c r="O387" s="444">
        <f t="shared" si="5"/>
        <v>0</v>
      </c>
      <c r="P387" s="444">
        <f t="shared" si="5"/>
        <v>0</v>
      </c>
    </row>
    <row r="388" spans="2:16" x14ac:dyDescent="0.2">
      <c r="B388" s="440" t="s">
        <v>1790</v>
      </c>
      <c r="C388" s="440" t="s">
        <v>1804</v>
      </c>
      <c r="D388" s="440" t="s">
        <v>1806</v>
      </c>
      <c r="E388" s="440">
        <v>72</v>
      </c>
      <c r="F388" s="440">
        <v>0.93</v>
      </c>
      <c r="G388" s="443">
        <v>1</v>
      </c>
      <c r="H388" s="443">
        <v>1.01</v>
      </c>
      <c r="J388" s="440">
        <v>0.96</v>
      </c>
      <c r="K388" s="443">
        <v>1</v>
      </c>
      <c r="L388" s="443">
        <v>1.01</v>
      </c>
      <c r="N388" s="444">
        <f t="shared" si="5"/>
        <v>-3.1249999999999889E-2</v>
      </c>
      <c r="O388" s="444">
        <f t="shared" si="5"/>
        <v>0</v>
      </c>
      <c r="P388" s="444">
        <f t="shared" si="5"/>
        <v>0</v>
      </c>
    </row>
    <row r="389" spans="2:16" x14ac:dyDescent="0.2">
      <c r="B389" s="440" t="s">
        <v>1790</v>
      </c>
      <c r="C389" s="440" t="s">
        <v>1804</v>
      </c>
      <c r="D389" s="440" t="s">
        <v>1806</v>
      </c>
      <c r="E389" s="440">
        <v>73</v>
      </c>
      <c r="F389" s="440">
        <v>0.93</v>
      </c>
      <c r="G389" s="443">
        <v>1</v>
      </c>
      <c r="H389" s="443">
        <v>1.01</v>
      </c>
      <c r="J389" s="440">
        <v>0.96</v>
      </c>
      <c r="K389" s="443">
        <v>1</v>
      </c>
      <c r="L389" s="443">
        <v>1.01</v>
      </c>
      <c r="N389" s="444">
        <f t="shared" si="5"/>
        <v>-3.1249999999999889E-2</v>
      </c>
      <c r="O389" s="444">
        <f t="shared" si="5"/>
        <v>0</v>
      </c>
      <c r="P389" s="444">
        <f t="shared" si="5"/>
        <v>0</v>
      </c>
    </row>
    <row r="390" spans="2:16" x14ac:dyDescent="0.2">
      <c r="B390" s="440" t="s">
        <v>1790</v>
      </c>
      <c r="C390" s="440" t="s">
        <v>1804</v>
      </c>
      <c r="D390" s="440" t="s">
        <v>1806</v>
      </c>
      <c r="E390" s="440">
        <v>74</v>
      </c>
      <c r="F390" s="440">
        <v>0.93</v>
      </c>
      <c r="G390" s="443">
        <v>1</v>
      </c>
      <c r="H390" s="443">
        <v>1</v>
      </c>
      <c r="J390" s="440">
        <v>0.96</v>
      </c>
      <c r="K390" s="443">
        <v>1</v>
      </c>
      <c r="L390" s="443">
        <v>1.01</v>
      </c>
      <c r="N390" s="444">
        <f t="shared" si="5"/>
        <v>-3.1249999999999889E-2</v>
      </c>
      <c r="O390" s="444">
        <f t="shared" si="5"/>
        <v>0</v>
      </c>
      <c r="P390" s="444">
        <f t="shared" si="5"/>
        <v>-9.9009900990099098E-3</v>
      </c>
    </row>
    <row r="391" spans="2:16" x14ac:dyDescent="0.2">
      <c r="B391" s="440" t="s">
        <v>1790</v>
      </c>
      <c r="C391" s="440" t="s">
        <v>1804</v>
      </c>
      <c r="D391" s="440" t="s">
        <v>1806</v>
      </c>
      <c r="E391" s="440">
        <v>75</v>
      </c>
      <c r="F391" s="440">
        <v>0.93</v>
      </c>
      <c r="G391" s="443">
        <v>1</v>
      </c>
      <c r="H391" s="443">
        <v>1</v>
      </c>
      <c r="J391" s="440">
        <v>0.96</v>
      </c>
      <c r="K391" s="443">
        <v>1</v>
      </c>
      <c r="L391" s="443">
        <v>1</v>
      </c>
      <c r="N391" s="444">
        <f t="shared" si="5"/>
        <v>-3.1249999999999889E-2</v>
      </c>
      <c r="O391" s="444">
        <f t="shared" si="5"/>
        <v>0</v>
      </c>
      <c r="P391" s="444">
        <f t="shared" si="5"/>
        <v>0</v>
      </c>
    </row>
    <row r="392" spans="2:16" x14ac:dyDescent="0.2">
      <c r="B392" s="440" t="s">
        <v>1790</v>
      </c>
      <c r="C392" s="440" t="s">
        <v>1804</v>
      </c>
      <c r="D392" s="440" t="s">
        <v>1806</v>
      </c>
      <c r="E392" s="440">
        <v>76</v>
      </c>
      <c r="F392" s="440">
        <v>0.93</v>
      </c>
      <c r="G392" s="443">
        <v>1</v>
      </c>
      <c r="H392" s="443">
        <v>1</v>
      </c>
      <c r="J392" s="440">
        <v>0.96</v>
      </c>
      <c r="K392" s="443">
        <v>1</v>
      </c>
      <c r="L392" s="443">
        <v>1</v>
      </c>
      <c r="N392" s="444">
        <f t="shared" si="5"/>
        <v>-3.1249999999999889E-2</v>
      </c>
      <c r="O392" s="444">
        <f t="shared" si="5"/>
        <v>0</v>
      </c>
      <c r="P392" s="444">
        <f t="shared" si="5"/>
        <v>0</v>
      </c>
    </row>
    <row r="393" spans="2:16" x14ac:dyDescent="0.2">
      <c r="B393" s="440" t="s">
        <v>1790</v>
      </c>
      <c r="C393" s="440" t="s">
        <v>1804</v>
      </c>
      <c r="D393" s="440" t="s">
        <v>1806</v>
      </c>
      <c r="E393" s="440">
        <v>77</v>
      </c>
      <c r="F393" s="440">
        <v>0.93</v>
      </c>
      <c r="G393" s="443">
        <v>1</v>
      </c>
      <c r="H393" s="443">
        <v>1</v>
      </c>
      <c r="J393" s="440">
        <v>0.96</v>
      </c>
      <c r="K393" s="443">
        <v>1</v>
      </c>
      <c r="L393" s="443">
        <v>1</v>
      </c>
      <c r="N393" s="444">
        <f t="shared" si="5"/>
        <v>-3.1249999999999889E-2</v>
      </c>
      <c r="O393" s="444">
        <f t="shared" si="5"/>
        <v>0</v>
      </c>
      <c r="P393" s="444">
        <f t="shared" si="5"/>
        <v>0</v>
      </c>
    </row>
    <row r="394" spans="2:16" x14ac:dyDescent="0.2">
      <c r="B394" s="440" t="s">
        <v>1790</v>
      </c>
      <c r="C394" s="440" t="s">
        <v>1804</v>
      </c>
      <c r="D394" s="440" t="s">
        <v>1806</v>
      </c>
      <c r="E394" s="440">
        <v>78</v>
      </c>
      <c r="F394" s="440">
        <v>0.93</v>
      </c>
      <c r="G394" s="443">
        <v>1</v>
      </c>
      <c r="H394" s="443">
        <v>1</v>
      </c>
      <c r="J394" s="440">
        <v>0.96</v>
      </c>
      <c r="K394" s="443">
        <v>1</v>
      </c>
      <c r="L394" s="443">
        <v>1</v>
      </c>
      <c r="N394" s="444">
        <f t="shared" si="5"/>
        <v>-3.1249999999999889E-2</v>
      </c>
      <c r="O394" s="444">
        <f t="shared" si="5"/>
        <v>0</v>
      </c>
      <c r="P394" s="444">
        <f t="shared" si="5"/>
        <v>0</v>
      </c>
    </row>
    <row r="395" spans="2:16" x14ac:dyDescent="0.2">
      <c r="B395" s="440" t="s">
        <v>1790</v>
      </c>
      <c r="C395" s="440" t="s">
        <v>1804</v>
      </c>
      <c r="D395" s="440" t="s">
        <v>1806</v>
      </c>
      <c r="E395" s="440">
        <v>79</v>
      </c>
      <c r="F395" s="440">
        <v>0.93</v>
      </c>
      <c r="G395" s="443">
        <v>1</v>
      </c>
      <c r="H395" s="443">
        <v>1</v>
      </c>
      <c r="J395" s="440">
        <v>0.96</v>
      </c>
      <c r="K395" s="443">
        <v>1</v>
      </c>
      <c r="L395" s="443">
        <v>1</v>
      </c>
      <c r="N395" s="444">
        <f t="shared" si="5"/>
        <v>-3.1249999999999889E-2</v>
      </c>
      <c r="O395" s="444">
        <f t="shared" si="5"/>
        <v>0</v>
      </c>
      <c r="P395" s="444">
        <f t="shared" si="5"/>
        <v>0</v>
      </c>
    </row>
    <row r="396" spans="2:16" x14ac:dyDescent="0.2">
      <c r="B396" s="440" t="s">
        <v>1790</v>
      </c>
      <c r="C396" s="440" t="s">
        <v>1804</v>
      </c>
      <c r="D396" s="440" t="s">
        <v>1806</v>
      </c>
      <c r="E396" s="440">
        <v>80</v>
      </c>
      <c r="F396" s="440">
        <v>0.93</v>
      </c>
      <c r="G396" s="443">
        <v>1</v>
      </c>
      <c r="H396" s="443">
        <v>1</v>
      </c>
      <c r="J396" s="440">
        <v>0.96</v>
      </c>
      <c r="K396" s="443">
        <v>1</v>
      </c>
      <c r="L396" s="443">
        <v>1</v>
      </c>
      <c r="N396" s="444">
        <f t="shared" si="5"/>
        <v>-3.1249999999999889E-2</v>
      </c>
      <c r="O396" s="444">
        <f t="shared" si="5"/>
        <v>0</v>
      </c>
      <c r="P396" s="444">
        <f t="shared" si="5"/>
        <v>0</v>
      </c>
    </row>
    <row r="397" spans="2:16" x14ac:dyDescent="0.2">
      <c r="B397" s="440" t="s">
        <v>1790</v>
      </c>
      <c r="C397" s="440" t="s">
        <v>1804</v>
      </c>
      <c r="D397" s="440" t="s">
        <v>1806</v>
      </c>
      <c r="E397" s="440">
        <v>81</v>
      </c>
      <c r="F397" s="440">
        <v>0.93</v>
      </c>
      <c r="G397" s="443">
        <v>1</v>
      </c>
      <c r="H397" s="443">
        <v>1</v>
      </c>
      <c r="J397" s="440">
        <v>0.96</v>
      </c>
      <c r="K397" s="443">
        <v>1</v>
      </c>
      <c r="L397" s="443">
        <v>1</v>
      </c>
      <c r="N397" s="444">
        <f t="shared" ref="N397:P460" si="6">F397/J397-1</f>
        <v>-3.1249999999999889E-2</v>
      </c>
      <c r="O397" s="444">
        <f t="shared" si="6"/>
        <v>0</v>
      </c>
      <c r="P397" s="444">
        <f t="shared" si="6"/>
        <v>0</v>
      </c>
    </row>
    <row r="398" spans="2:16" x14ac:dyDescent="0.2">
      <c r="B398" s="440" t="s">
        <v>1790</v>
      </c>
      <c r="C398" s="440" t="s">
        <v>1804</v>
      </c>
      <c r="D398" s="440" t="s">
        <v>1806</v>
      </c>
      <c r="E398" s="440">
        <v>82</v>
      </c>
      <c r="F398" s="440">
        <v>0.93</v>
      </c>
      <c r="G398" s="443">
        <v>1</v>
      </c>
      <c r="H398" s="443">
        <v>1</v>
      </c>
      <c r="J398" s="440">
        <v>0.96</v>
      </c>
      <c r="K398" s="443">
        <v>1</v>
      </c>
      <c r="L398" s="443">
        <v>1</v>
      </c>
      <c r="N398" s="444">
        <f t="shared" si="6"/>
        <v>-3.1249999999999889E-2</v>
      </c>
      <c r="O398" s="444">
        <f t="shared" si="6"/>
        <v>0</v>
      </c>
      <c r="P398" s="444">
        <f t="shared" si="6"/>
        <v>0</v>
      </c>
    </row>
    <row r="399" spans="2:16" x14ac:dyDescent="0.2">
      <c r="B399" s="440" t="s">
        <v>1790</v>
      </c>
      <c r="C399" s="440" t="s">
        <v>1804</v>
      </c>
      <c r="D399" s="440" t="s">
        <v>1806</v>
      </c>
      <c r="E399" s="440">
        <v>83</v>
      </c>
      <c r="F399" s="440">
        <v>0.93</v>
      </c>
      <c r="G399" s="443">
        <v>1</v>
      </c>
      <c r="H399" s="443">
        <v>1</v>
      </c>
      <c r="J399" s="440">
        <v>0.96</v>
      </c>
      <c r="K399" s="443">
        <v>1</v>
      </c>
      <c r="L399" s="443">
        <v>1</v>
      </c>
      <c r="N399" s="444">
        <f t="shared" si="6"/>
        <v>-3.1249999999999889E-2</v>
      </c>
      <c r="O399" s="444">
        <f t="shared" si="6"/>
        <v>0</v>
      </c>
      <c r="P399" s="444">
        <f t="shared" si="6"/>
        <v>0</v>
      </c>
    </row>
    <row r="400" spans="2:16" x14ac:dyDescent="0.2">
      <c r="B400" s="440" t="s">
        <v>1790</v>
      </c>
      <c r="C400" s="440" t="s">
        <v>1804</v>
      </c>
      <c r="D400" s="440" t="s">
        <v>1806</v>
      </c>
      <c r="E400" s="440">
        <v>84</v>
      </c>
      <c r="F400" s="440">
        <v>0.93</v>
      </c>
      <c r="G400" s="443">
        <v>1</v>
      </c>
      <c r="H400" s="443">
        <v>1</v>
      </c>
      <c r="J400" s="440">
        <v>0.96</v>
      </c>
      <c r="K400" s="443">
        <v>1</v>
      </c>
      <c r="L400" s="443">
        <v>1</v>
      </c>
      <c r="N400" s="444">
        <f t="shared" si="6"/>
        <v>-3.1249999999999889E-2</v>
      </c>
      <c r="O400" s="444">
        <f t="shared" si="6"/>
        <v>0</v>
      </c>
      <c r="P400" s="444">
        <f t="shared" si="6"/>
        <v>0</v>
      </c>
    </row>
    <row r="401" spans="2:16" x14ac:dyDescent="0.2">
      <c r="B401" s="440" t="s">
        <v>1790</v>
      </c>
      <c r="C401" s="440" t="s">
        <v>1804</v>
      </c>
      <c r="D401" s="440" t="s">
        <v>1806</v>
      </c>
      <c r="E401" s="440">
        <v>85</v>
      </c>
      <c r="F401" s="440">
        <v>0.93</v>
      </c>
      <c r="G401" s="443">
        <v>1</v>
      </c>
      <c r="H401" s="443">
        <v>1</v>
      </c>
      <c r="J401" s="440">
        <v>0.96</v>
      </c>
      <c r="K401" s="443">
        <v>1</v>
      </c>
      <c r="L401" s="443">
        <v>1</v>
      </c>
      <c r="N401" s="444">
        <f t="shared" si="6"/>
        <v>-3.1249999999999889E-2</v>
      </c>
      <c r="O401" s="444">
        <f t="shared" si="6"/>
        <v>0</v>
      </c>
      <c r="P401" s="444">
        <f t="shared" si="6"/>
        <v>0</v>
      </c>
    </row>
    <row r="402" spans="2:16" x14ac:dyDescent="0.2">
      <c r="B402" s="440" t="s">
        <v>1790</v>
      </c>
      <c r="C402" s="440" t="s">
        <v>1804</v>
      </c>
      <c r="D402" s="440" t="s">
        <v>1806</v>
      </c>
      <c r="E402" s="440">
        <v>86</v>
      </c>
      <c r="F402" s="440">
        <v>0.93</v>
      </c>
      <c r="G402" s="443">
        <v>1</v>
      </c>
      <c r="H402" s="443">
        <v>1</v>
      </c>
      <c r="J402" s="440">
        <v>0.96</v>
      </c>
      <c r="K402" s="443">
        <v>1</v>
      </c>
      <c r="L402" s="443">
        <v>1</v>
      </c>
      <c r="N402" s="444">
        <f t="shared" si="6"/>
        <v>-3.1249999999999889E-2</v>
      </c>
      <c r="O402" s="444">
        <f t="shared" si="6"/>
        <v>0</v>
      </c>
      <c r="P402" s="444">
        <f t="shared" si="6"/>
        <v>0</v>
      </c>
    </row>
    <row r="403" spans="2:16" x14ac:dyDescent="0.2">
      <c r="B403" s="440" t="s">
        <v>1790</v>
      </c>
      <c r="C403" s="440" t="s">
        <v>1804</v>
      </c>
      <c r="D403" s="440" t="s">
        <v>1806</v>
      </c>
      <c r="E403" s="440">
        <v>87</v>
      </c>
      <c r="F403" s="440">
        <v>0.93</v>
      </c>
      <c r="G403" s="443">
        <v>1</v>
      </c>
      <c r="H403" s="443">
        <v>1</v>
      </c>
      <c r="J403" s="440">
        <v>0.96</v>
      </c>
      <c r="K403" s="443">
        <v>1</v>
      </c>
      <c r="L403" s="443">
        <v>1</v>
      </c>
      <c r="N403" s="444">
        <f t="shared" si="6"/>
        <v>-3.1249999999999889E-2</v>
      </c>
      <c r="O403" s="444">
        <f t="shared" si="6"/>
        <v>0</v>
      </c>
      <c r="P403" s="444">
        <f t="shared" si="6"/>
        <v>0</v>
      </c>
    </row>
    <row r="404" spans="2:16" x14ac:dyDescent="0.2">
      <c r="B404" s="440" t="s">
        <v>1790</v>
      </c>
      <c r="C404" s="440" t="s">
        <v>1804</v>
      </c>
      <c r="D404" s="440" t="s">
        <v>1806</v>
      </c>
      <c r="E404" s="440">
        <v>88</v>
      </c>
      <c r="F404" s="440">
        <v>0.93</v>
      </c>
      <c r="G404" s="443">
        <v>1</v>
      </c>
      <c r="H404" s="443">
        <v>1</v>
      </c>
      <c r="J404" s="440">
        <v>0.96</v>
      </c>
      <c r="K404" s="443">
        <v>1</v>
      </c>
      <c r="L404" s="443">
        <v>1</v>
      </c>
      <c r="N404" s="444">
        <f t="shared" si="6"/>
        <v>-3.1249999999999889E-2</v>
      </c>
      <c r="O404" s="444">
        <f t="shared" si="6"/>
        <v>0</v>
      </c>
      <c r="P404" s="444">
        <f t="shared" si="6"/>
        <v>0</v>
      </c>
    </row>
    <row r="405" spans="2:16" x14ac:dyDescent="0.2">
      <c r="B405" s="440" t="s">
        <v>1790</v>
      </c>
      <c r="C405" s="440" t="s">
        <v>1804</v>
      </c>
      <c r="D405" s="440" t="s">
        <v>1806</v>
      </c>
      <c r="E405" s="440">
        <v>89</v>
      </c>
      <c r="F405" s="440">
        <v>0.93</v>
      </c>
      <c r="G405" s="443">
        <v>1</v>
      </c>
      <c r="H405" s="443">
        <v>1</v>
      </c>
      <c r="J405" s="440">
        <v>0.96</v>
      </c>
      <c r="K405" s="443">
        <v>1</v>
      </c>
      <c r="L405" s="443">
        <v>1</v>
      </c>
      <c r="N405" s="444">
        <f t="shared" si="6"/>
        <v>-3.1249999999999889E-2</v>
      </c>
      <c r="O405" s="444">
        <f t="shared" si="6"/>
        <v>0</v>
      </c>
      <c r="P405" s="444">
        <f t="shared" si="6"/>
        <v>0</v>
      </c>
    </row>
    <row r="406" spans="2:16" x14ac:dyDescent="0.2">
      <c r="B406" s="440" t="s">
        <v>1790</v>
      </c>
      <c r="C406" s="440" t="s">
        <v>1804</v>
      </c>
      <c r="D406" s="440" t="s">
        <v>1806</v>
      </c>
      <c r="E406" s="440">
        <v>90</v>
      </c>
      <c r="F406" s="440">
        <v>0.93</v>
      </c>
      <c r="G406" s="443">
        <v>1</v>
      </c>
      <c r="H406" s="443">
        <v>1</v>
      </c>
      <c r="J406" s="440">
        <v>0.96</v>
      </c>
      <c r="K406" s="443">
        <v>1</v>
      </c>
      <c r="L406" s="443">
        <v>1</v>
      </c>
      <c r="N406" s="444">
        <f t="shared" si="6"/>
        <v>-3.1249999999999889E-2</v>
      </c>
      <c r="O406" s="444">
        <f t="shared" si="6"/>
        <v>0</v>
      </c>
      <c r="P406" s="444">
        <f t="shared" si="6"/>
        <v>0</v>
      </c>
    </row>
    <row r="407" spans="2:16" x14ac:dyDescent="0.2">
      <c r="B407" s="440" t="s">
        <v>1790</v>
      </c>
      <c r="C407" s="440" t="s">
        <v>1804</v>
      </c>
      <c r="D407" s="440" t="s">
        <v>1806</v>
      </c>
      <c r="E407" s="440">
        <v>91</v>
      </c>
      <c r="F407" s="440">
        <v>0.93</v>
      </c>
      <c r="G407" s="443">
        <v>1</v>
      </c>
      <c r="H407" s="443">
        <v>1</v>
      </c>
      <c r="J407" s="440">
        <v>0.96</v>
      </c>
      <c r="K407" s="443">
        <v>1</v>
      </c>
      <c r="L407" s="443">
        <v>1</v>
      </c>
      <c r="N407" s="444">
        <f t="shared" si="6"/>
        <v>-3.1249999999999889E-2</v>
      </c>
      <c r="O407" s="444">
        <f t="shared" si="6"/>
        <v>0</v>
      </c>
      <c r="P407" s="444">
        <f t="shared" si="6"/>
        <v>0</v>
      </c>
    </row>
    <row r="408" spans="2:16" x14ac:dyDescent="0.2">
      <c r="B408" s="440" t="s">
        <v>1790</v>
      </c>
      <c r="C408" s="440" t="s">
        <v>1804</v>
      </c>
      <c r="D408" s="440" t="s">
        <v>1806</v>
      </c>
      <c r="E408" s="440">
        <v>92</v>
      </c>
      <c r="F408" s="440">
        <v>0.93</v>
      </c>
      <c r="G408" s="443">
        <v>1</v>
      </c>
      <c r="H408" s="443">
        <v>1</v>
      </c>
      <c r="J408" s="440">
        <v>0.96</v>
      </c>
      <c r="K408" s="443">
        <v>1</v>
      </c>
      <c r="L408" s="443">
        <v>1</v>
      </c>
      <c r="N408" s="444">
        <f t="shared" si="6"/>
        <v>-3.1249999999999889E-2</v>
      </c>
      <c r="O408" s="444">
        <f t="shared" si="6"/>
        <v>0</v>
      </c>
      <c r="P408" s="444">
        <f t="shared" si="6"/>
        <v>0</v>
      </c>
    </row>
    <row r="409" spans="2:16" x14ac:dyDescent="0.2">
      <c r="B409" s="440" t="s">
        <v>1790</v>
      </c>
      <c r="C409" s="440" t="s">
        <v>1804</v>
      </c>
      <c r="D409" s="440" t="s">
        <v>1806</v>
      </c>
      <c r="E409" s="440">
        <v>93</v>
      </c>
      <c r="F409" s="440">
        <v>0.93</v>
      </c>
      <c r="G409" s="443">
        <v>1</v>
      </c>
      <c r="H409" s="443">
        <v>1</v>
      </c>
      <c r="J409" s="440">
        <v>0.96</v>
      </c>
      <c r="K409" s="443">
        <v>1</v>
      </c>
      <c r="L409" s="443">
        <v>1</v>
      </c>
      <c r="N409" s="444">
        <f t="shared" si="6"/>
        <v>-3.1249999999999889E-2</v>
      </c>
      <c r="O409" s="444">
        <f t="shared" si="6"/>
        <v>0</v>
      </c>
      <c r="P409" s="444">
        <f t="shared" si="6"/>
        <v>0</v>
      </c>
    </row>
    <row r="410" spans="2:16" x14ac:dyDescent="0.2">
      <c r="B410" s="440" t="s">
        <v>1790</v>
      </c>
      <c r="C410" s="440" t="s">
        <v>1804</v>
      </c>
      <c r="D410" s="440" t="s">
        <v>1806</v>
      </c>
      <c r="E410" s="440">
        <v>94</v>
      </c>
      <c r="F410" s="440">
        <v>0.93</v>
      </c>
      <c r="G410" s="443">
        <v>1</v>
      </c>
      <c r="H410" s="443">
        <v>1</v>
      </c>
      <c r="J410" s="440">
        <v>0.96</v>
      </c>
      <c r="K410" s="443">
        <v>1</v>
      </c>
      <c r="L410" s="443">
        <v>1</v>
      </c>
      <c r="N410" s="444">
        <f t="shared" si="6"/>
        <v>-3.1249999999999889E-2</v>
      </c>
      <c r="O410" s="444">
        <f t="shared" si="6"/>
        <v>0</v>
      </c>
      <c r="P410" s="444">
        <f t="shared" si="6"/>
        <v>0</v>
      </c>
    </row>
    <row r="411" spans="2:16" x14ac:dyDescent="0.2">
      <c r="B411" s="440" t="s">
        <v>1790</v>
      </c>
      <c r="C411" s="440" t="s">
        <v>1804</v>
      </c>
      <c r="D411" s="440" t="s">
        <v>1806</v>
      </c>
      <c r="E411" s="440">
        <v>95</v>
      </c>
      <c r="F411" s="440">
        <v>0.93</v>
      </c>
      <c r="G411" s="443">
        <v>1</v>
      </c>
      <c r="H411" s="443">
        <v>1</v>
      </c>
      <c r="J411" s="440">
        <v>0.96</v>
      </c>
      <c r="K411" s="443">
        <v>1</v>
      </c>
      <c r="L411" s="443">
        <v>1</v>
      </c>
      <c r="N411" s="444">
        <f t="shared" si="6"/>
        <v>-3.1249999999999889E-2</v>
      </c>
      <c r="O411" s="444">
        <f t="shared" si="6"/>
        <v>0</v>
      </c>
      <c r="P411" s="444">
        <f t="shared" si="6"/>
        <v>0</v>
      </c>
    </row>
    <row r="412" spans="2:16" x14ac:dyDescent="0.2">
      <c r="B412" s="440" t="s">
        <v>1790</v>
      </c>
      <c r="C412" s="440" t="s">
        <v>1804</v>
      </c>
      <c r="D412" s="440" t="s">
        <v>1806</v>
      </c>
      <c r="E412" s="440">
        <v>96</v>
      </c>
      <c r="F412" s="440">
        <v>0.93</v>
      </c>
      <c r="G412" s="443">
        <v>1</v>
      </c>
      <c r="H412" s="443">
        <v>1</v>
      </c>
      <c r="J412" s="440">
        <v>0.96</v>
      </c>
      <c r="K412" s="443">
        <v>1</v>
      </c>
      <c r="L412" s="443">
        <v>1</v>
      </c>
      <c r="N412" s="444">
        <f t="shared" si="6"/>
        <v>-3.1249999999999889E-2</v>
      </c>
      <c r="O412" s="444">
        <f t="shared" si="6"/>
        <v>0</v>
      </c>
      <c r="P412" s="444">
        <f t="shared" si="6"/>
        <v>0</v>
      </c>
    </row>
    <row r="413" spans="2:16" x14ac:dyDescent="0.2">
      <c r="B413" s="440" t="s">
        <v>1790</v>
      </c>
      <c r="C413" s="440" t="s">
        <v>1804</v>
      </c>
      <c r="D413" s="440" t="s">
        <v>1806</v>
      </c>
      <c r="E413" s="440">
        <v>97</v>
      </c>
      <c r="F413" s="440">
        <v>0.93</v>
      </c>
      <c r="G413" s="443">
        <v>1</v>
      </c>
      <c r="H413" s="443">
        <v>1</v>
      </c>
      <c r="J413" s="440">
        <v>0.96</v>
      </c>
      <c r="K413" s="443">
        <v>1</v>
      </c>
      <c r="L413" s="443">
        <v>1</v>
      </c>
      <c r="N413" s="444">
        <f t="shared" si="6"/>
        <v>-3.1249999999999889E-2</v>
      </c>
      <c r="O413" s="444">
        <f t="shared" si="6"/>
        <v>0</v>
      </c>
      <c r="P413" s="444">
        <f t="shared" si="6"/>
        <v>0</v>
      </c>
    </row>
    <row r="414" spans="2:16" x14ac:dyDescent="0.2">
      <c r="B414" s="440" t="s">
        <v>1790</v>
      </c>
      <c r="C414" s="440" t="s">
        <v>1804</v>
      </c>
      <c r="D414" s="440" t="s">
        <v>1806</v>
      </c>
      <c r="E414" s="440">
        <v>98</v>
      </c>
      <c r="F414" s="440">
        <v>0.93</v>
      </c>
      <c r="G414" s="443">
        <v>1</v>
      </c>
      <c r="H414" s="443">
        <v>1</v>
      </c>
      <c r="J414" s="440">
        <v>0.96</v>
      </c>
      <c r="K414" s="443">
        <v>1</v>
      </c>
      <c r="L414" s="443">
        <v>1</v>
      </c>
      <c r="N414" s="444">
        <f t="shared" si="6"/>
        <v>-3.1249999999999889E-2</v>
      </c>
      <c r="O414" s="444">
        <f t="shared" si="6"/>
        <v>0</v>
      </c>
      <c r="P414" s="444">
        <f t="shared" si="6"/>
        <v>0</v>
      </c>
    </row>
    <row r="415" spans="2:16" x14ac:dyDescent="0.2">
      <c r="B415" s="440" t="s">
        <v>1790</v>
      </c>
      <c r="C415" s="440" t="s">
        <v>1804</v>
      </c>
      <c r="D415" s="440" t="s">
        <v>1806</v>
      </c>
      <c r="E415" s="440">
        <v>99</v>
      </c>
      <c r="F415" s="440">
        <v>0.93</v>
      </c>
      <c r="G415" s="443">
        <v>1</v>
      </c>
      <c r="H415" s="443">
        <v>1</v>
      </c>
      <c r="J415" s="440">
        <v>0.96</v>
      </c>
      <c r="K415" s="443">
        <v>1</v>
      </c>
      <c r="L415" s="443">
        <v>1</v>
      </c>
      <c r="N415" s="444">
        <f t="shared" si="6"/>
        <v>-3.1249999999999889E-2</v>
      </c>
      <c r="O415" s="444">
        <f t="shared" si="6"/>
        <v>0</v>
      </c>
      <c r="P415" s="444">
        <f t="shared" si="6"/>
        <v>0</v>
      </c>
    </row>
    <row r="416" spans="2:16" x14ac:dyDescent="0.2">
      <c r="B416" s="440" t="s">
        <v>1790</v>
      </c>
      <c r="C416" s="440" t="s">
        <v>1804</v>
      </c>
      <c r="D416" s="440" t="s">
        <v>1806</v>
      </c>
      <c r="E416" s="440">
        <v>100</v>
      </c>
      <c r="F416" s="440">
        <v>0.93</v>
      </c>
      <c r="G416" s="443">
        <v>1</v>
      </c>
      <c r="H416" s="443">
        <v>1</v>
      </c>
      <c r="J416" s="440">
        <v>0.96</v>
      </c>
      <c r="K416" s="443">
        <v>1</v>
      </c>
      <c r="L416" s="443">
        <v>1</v>
      </c>
      <c r="N416" s="444">
        <f t="shared" si="6"/>
        <v>-3.1249999999999889E-2</v>
      </c>
      <c r="O416" s="444">
        <f t="shared" si="6"/>
        <v>0</v>
      </c>
      <c r="P416" s="444">
        <f t="shared" si="6"/>
        <v>0</v>
      </c>
    </row>
    <row r="417" spans="2:16" x14ac:dyDescent="0.2">
      <c r="B417" s="440" t="s">
        <v>1791</v>
      </c>
      <c r="C417" s="440" t="s">
        <v>1804</v>
      </c>
      <c r="D417" s="440" t="s">
        <v>1805</v>
      </c>
      <c r="E417" s="440">
        <v>0</v>
      </c>
      <c r="F417" s="440">
        <v>0.89</v>
      </c>
      <c r="G417" s="443">
        <v>1.01</v>
      </c>
      <c r="H417" s="443">
        <v>2.5</v>
      </c>
      <c r="J417" s="440">
        <v>0.94</v>
      </c>
      <c r="K417" s="440">
        <v>1.01</v>
      </c>
      <c r="L417" s="443">
        <v>2.5</v>
      </c>
      <c r="N417" s="444">
        <f t="shared" si="6"/>
        <v>-5.3191489361702038E-2</v>
      </c>
      <c r="O417" s="444">
        <f t="shared" si="6"/>
        <v>0</v>
      </c>
      <c r="P417" s="444">
        <f t="shared" si="6"/>
        <v>0</v>
      </c>
    </row>
    <row r="418" spans="2:16" x14ac:dyDescent="0.2">
      <c r="B418" s="440" t="s">
        <v>1791</v>
      </c>
      <c r="C418" s="440" t="s">
        <v>1804</v>
      </c>
      <c r="D418" s="440" t="s">
        <v>1805</v>
      </c>
      <c r="E418" s="440">
        <v>1</v>
      </c>
      <c r="F418" s="440">
        <v>0.89</v>
      </c>
      <c r="G418" s="443">
        <v>1.01</v>
      </c>
      <c r="H418" s="443">
        <v>2.4</v>
      </c>
      <c r="J418" s="440">
        <v>0.94</v>
      </c>
      <c r="K418" s="440">
        <v>1.01</v>
      </c>
      <c r="L418" s="443">
        <v>2.5</v>
      </c>
      <c r="N418" s="444">
        <f t="shared" si="6"/>
        <v>-5.3191489361702038E-2</v>
      </c>
      <c r="O418" s="444">
        <f t="shared" si="6"/>
        <v>0</v>
      </c>
      <c r="P418" s="444">
        <f t="shared" si="6"/>
        <v>-4.0000000000000036E-2</v>
      </c>
    </row>
    <row r="419" spans="2:16" x14ac:dyDescent="0.2">
      <c r="B419" s="440" t="s">
        <v>1791</v>
      </c>
      <c r="C419" s="440" t="s">
        <v>1804</v>
      </c>
      <c r="D419" s="440" t="s">
        <v>1805</v>
      </c>
      <c r="E419" s="440">
        <v>2</v>
      </c>
      <c r="F419" s="440">
        <v>0.89</v>
      </c>
      <c r="G419" s="443">
        <v>1.01</v>
      </c>
      <c r="H419" s="443">
        <v>2.2999999999999998</v>
      </c>
      <c r="J419" s="440">
        <v>0.94</v>
      </c>
      <c r="K419" s="440">
        <v>1.01</v>
      </c>
      <c r="L419" s="443">
        <v>2.5</v>
      </c>
      <c r="N419" s="444">
        <f t="shared" si="6"/>
        <v>-5.3191489361702038E-2</v>
      </c>
      <c r="O419" s="444">
        <f t="shared" si="6"/>
        <v>0</v>
      </c>
      <c r="P419" s="444">
        <f t="shared" si="6"/>
        <v>-8.0000000000000071E-2</v>
      </c>
    </row>
    <row r="420" spans="2:16" x14ac:dyDescent="0.2">
      <c r="B420" s="440" t="s">
        <v>1791</v>
      </c>
      <c r="C420" s="440" t="s">
        <v>1804</v>
      </c>
      <c r="D420" s="440" t="s">
        <v>1805</v>
      </c>
      <c r="E420" s="440">
        <v>3</v>
      </c>
      <c r="F420" s="440">
        <v>0.89</v>
      </c>
      <c r="G420" s="443">
        <v>1.01</v>
      </c>
      <c r="H420" s="443">
        <v>2.2000000000000002</v>
      </c>
      <c r="J420" s="440">
        <v>0.94</v>
      </c>
      <c r="K420" s="440">
        <v>1.01</v>
      </c>
      <c r="L420" s="443">
        <v>2.5</v>
      </c>
      <c r="N420" s="444">
        <f t="shared" si="6"/>
        <v>-5.3191489361702038E-2</v>
      </c>
      <c r="O420" s="444">
        <f t="shared" si="6"/>
        <v>0</v>
      </c>
      <c r="P420" s="444">
        <f t="shared" si="6"/>
        <v>-0.11999999999999988</v>
      </c>
    </row>
    <row r="421" spans="2:16" x14ac:dyDescent="0.2">
      <c r="B421" s="440" t="s">
        <v>1791</v>
      </c>
      <c r="C421" s="440" t="s">
        <v>1804</v>
      </c>
      <c r="D421" s="440" t="s">
        <v>1805</v>
      </c>
      <c r="E421" s="440">
        <v>4</v>
      </c>
      <c r="F421" s="440">
        <v>0.89</v>
      </c>
      <c r="G421" s="443">
        <v>1.01</v>
      </c>
      <c r="H421" s="443">
        <v>2.15</v>
      </c>
      <c r="J421" s="440">
        <v>0.94</v>
      </c>
      <c r="K421" s="440">
        <v>1.01</v>
      </c>
      <c r="L421" s="443">
        <v>2.4</v>
      </c>
      <c r="N421" s="444">
        <f t="shared" si="6"/>
        <v>-5.3191489361702038E-2</v>
      </c>
      <c r="O421" s="444">
        <f t="shared" si="6"/>
        <v>0</v>
      </c>
      <c r="P421" s="444">
        <f t="shared" si="6"/>
        <v>-0.10416666666666663</v>
      </c>
    </row>
    <row r="422" spans="2:16" x14ac:dyDescent="0.2">
      <c r="B422" s="440" t="s">
        <v>1791</v>
      </c>
      <c r="C422" s="440" t="s">
        <v>1804</v>
      </c>
      <c r="D422" s="440" t="s">
        <v>1805</v>
      </c>
      <c r="E422" s="440">
        <v>5</v>
      </c>
      <c r="F422" s="440">
        <v>0.89</v>
      </c>
      <c r="G422" s="443">
        <v>1.01</v>
      </c>
      <c r="H422" s="443">
        <v>2.1</v>
      </c>
      <c r="J422" s="440">
        <v>0.94</v>
      </c>
      <c r="K422" s="440">
        <v>1.01</v>
      </c>
      <c r="L422" s="443">
        <v>2.2999999999999998</v>
      </c>
      <c r="N422" s="444">
        <f t="shared" si="6"/>
        <v>-5.3191489361702038E-2</v>
      </c>
      <c r="O422" s="444">
        <f t="shared" si="6"/>
        <v>0</v>
      </c>
      <c r="P422" s="444">
        <f t="shared" si="6"/>
        <v>-8.6956521739130377E-2</v>
      </c>
    </row>
    <row r="423" spans="2:16" x14ac:dyDescent="0.2">
      <c r="B423" s="440" t="s">
        <v>1791</v>
      </c>
      <c r="C423" s="440" t="s">
        <v>1804</v>
      </c>
      <c r="D423" s="440" t="s">
        <v>1805</v>
      </c>
      <c r="E423" s="440">
        <v>6</v>
      </c>
      <c r="F423" s="440">
        <v>0.89</v>
      </c>
      <c r="G423" s="443">
        <v>1.01</v>
      </c>
      <c r="H423" s="443">
        <v>2.0499999999999998</v>
      </c>
      <c r="J423" s="440">
        <v>0.94</v>
      </c>
      <c r="K423" s="440">
        <v>1.01</v>
      </c>
      <c r="L423" s="443">
        <v>2.2000000000000002</v>
      </c>
      <c r="N423" s="444">
        <f t="shared" si="6"/>
        <v>-5.3191489361702038E-2</v>
      </c>
      <c r="O423" s="444">
        <f t="shared" si="6"/>
        <v>0</v>
      </c>
      <c r="P423" s="444">
        <f t="shared" si="6"/>
        <v>-6.8181818181818343E-2</v>
      </c>
    </row>
    <row r="424" spans="2:16" x14ac:dyDescent="0.2">
      <c r="B424" s="440" t="s">
        <v>1791</v>
      </c>
      <c r="C424" s="440" t="s">
        <v>1804</v>
      </c>
      <c r="D424" s="440" t="s">
        <v>1805</v>
      </c>
      <c r="E424" s="440">
        <v>7</v>
      </c>
      <c r="F424" s="440">
        <v>0.89</v>
      </c>
      <c r="G424" s="443">
        <v>1.01</v>
      </c>
      <c r="H424" s="443">
        <v>2</v>
      </c>
      <c r="J424" s="440">
        <v>0.94</v>
      </c>
      <c r="K424" s="440">
        <v>1.01</v>
      </c>
      <c r="L424" s="443">
        <v>2.1</v>
      </c>
      <c r="N424" s="444">
        <f t="shared" si="6"/>
        <v>-5.3191489361702038E-2</v>
      </c>
      <c r="O424" s="444">
        <f t="shared" si="6"/>
        <v>0</v>
      </c>
      <c r="P424" s="444">
        <f t="shared" si="6"/>
        <v>-4.7619047619047672E-2</v>
      </c>
    </row>
    <row r="425" spans="2:16" x14ac:dyDescent="0.2">
      <c r="B425" s="440" t="s">
        <v>1791</v>
      </c>
      <c r="C425" s="440" t="s">
        <v>1804</v>
      </c>
      <c r="D425" s="440" t="s">
        <v>1805</v>
      </c>
      <c r="E425" s="440">
        <v>8</v>
      </c>
      <c r="F425" s="440">
        <v>0.89</v>
      </c>
      <c r="G425" s="443">
        <v>1.01</v>
      </c>
      <c r="H425" s="443">
        <v>1.95</v>
      </c>
      <c r="J425" s="440">
        <v>0.94</v>
      </c>
      <c r="K425" s="440">
        <v>1.01</v>
      </c>
      <c r="L425" s="443">
        <v>2.0499999999999998</v>
      </c>
      <c r="N425" s="444">
        <f t="shared" si="6"/>
        <v>-5.3191489361702038E-2</v>
      </c>
      <c r="O425" s="444">
        <f t="shared" si="6"/>
        <v>0</v>
      </c>
      <c r="P425" s="444">
        <f t="shared" si="6"/>
        <v>-4.8780487804877981E-2</v>
      </c>
    </row>
    <row r="426" spans="2:16" x14ac:dyDescent="0.2">
      <c r="B426" s="440" t="s">
        <v>1791</v>
      </c>
      <c r="C426" s="440" t="s">
        <v>1804</v>
      </c>
      <c r="D426" s="440" t="s">
        <v>1805</v>
      </c>
      <c r="E426" s="440">
        <v>9</v>
      </c>
      <c r="F426" s="440">
        <v>0.89</v>
      </c>
      <c r="G426" s="443">
        <v>1.01</v>
      </c>
      <c r="H426" s="443">
        <v>1.9</v>
      </c>
      <c r="J426" s="440">
        <v>0.94</v>
      </c>
      <c r="K426" s="440">
        <v>1.01</v>
      </c>
      <c r="L426" s="443">
        <v>2</v>
      </c>
      <c r="N426" s="444">
        <f t="shared" si="6"/>
        <v>-5.3191489361702038E-2</v>
      </c>
      <c r="O426" s="444">
        <f t="shared" si="6"/>
        <v>0</v>
      </c>
      <c r="P426" s="444">
        <f t="shared" si="6"/>
        <v>-5.0000000000000044E-2</v>
      </c>
    </row>
    <row r="427" spans="2:16" x14ac:dyDescent="0.2">
      <c r="B427" s="440" t="s">
        <v>1791</v>
      </c>
      <c r="C427" s="440" t="s">
        <v>1804</v>
      </c>
      <c r="D427" s="440" t="s">
        <v>1805</v>
      </c>
      <c r="E427" s="440">
        <v>10</v>
      </c>
      <c r="F427" s="440">
        <v>0.89</v>
      </c>
      <c r="G427" s="443">
        <v>1.01</v>
      </c>
      <c r="H427" s="443">
        <v>1.85</v>
      </c>
      <c r="J427" s="440">
        <v>0.94</v>
      </c>
      <c r="K427" s="440">
        <v>1.01</v>
      </c>
      <c r="L427" s="443">
        <v>1.9</v>
      </c>
      <c r="N427" s="444">
        <f t="shared" si="6"/>
        <v>-5.3191489361702038E-2</v>
      </c>
      <c r="O427" s="444">
        <f t="shared" si="6"/>
        <v>0</v>
      </c>
      <c r="P427" s="444">
        <f t="shared" si="6"/>
        <v>-2.631578947368407E-2</v>
      </c>
    </row>
    <row r="428" spans="2:16" x14ac:dyDescent="0.2">
      <c r="B428" s="440" t="s">
        <v>1791</v>
      </c>
      <c r="C428" s="440" t="s">
        <v>1804</v>
      </c>
      <c r="D428" s="440" t="s">
        <v>1805</v>
      </c>
      <c r="E428" s="440">
        <v>11</v>
      </c>
      <c r="F428" s="440">
        <v>0.89</v>
      </c>
      <c r="G428" s="443">
        <v>1.01</v>
      </c>
      <c r="H428" s="443">
        <v>1.8</v>
      </c>
      <c r="J428" s="440">
        <v>0.94</v>
      </c>
      <c r="K428" s="440">
        <v>1.01</v>
      </c>
      <c r="L428" s="443">
        <v>1.85</v>
      </c>
      <c r="N428" s="444">
        <f t="shared" si="6"/>
        <v>-5.3191489361702038E-2</v>
      </c>
      <c r="O428" s="444">
        <f t="shared" si="6"/>
        <v>0</v>
      </c>
      <c r="P428" s="444">
        <f t="shared" si="6"/>
        <v>-2.7027027027027084E-2</v>
      </c>
    </row>
    <row r="429" spans="2:16" x14ac:dyDescent="0.2">
      <c r="B429" s="440" t="s">
        <v>1791</v>
      </c>
      <c r="C429" s="440" t="s">
        <v>1804</v>
      </c>
      <c r="D429" s="440" t="s">
        <v>1805</v>
      </c>
      <c r="E429" s="440">
        <v>12</v>
      </c>
      <c r="F429" s="440">
        <v>0.89</v>
      </c>
      <c r="G429" s="443">
        <v>1.01</v>
      </c>
      <c r="H429" s="443">
        <v>1.76</v>
      </c>
      <c r="J429" s="440">
        <v>0.94</v>
      </c>
      <c r="K429" s="440">
        <v>1.01</v>
      </c>
      <c r="L429" s="443">
        <v>1.8</v>
      </c>
      <c r="N429" s="444">
        <f t="shared" si="6"/>
        <v>-5.3191489361702038E-2</v>
      </c>
      <c r="O429" s="444">
        <f t="shared" si="6"/>
        <v>0</v>
      </c>
      <c r="P429" s="444">
        <f t="shared" si="6"/>
        <v>-2.2222222222222254E-2</v>
      </c>
    </row>
    <row r="430" spans="2:16" x14ac:dyDescent="0.2">
      <c r="B430" s="440" t="s">
        <v>1791</v>
      </c>
      <c r="C430" s="440" t="s">
        <v>1804</v>
      </c>
      <c r="D430" s="440" t="s">
        <v>1805</v>
      </c>
      <c r="E430" s="440">
        <v>13</v>
      </c>
      <c r="F430" s="440">
        <v>0.89</v>
      </c>
      <c r="G430" s="443">
        <v>1.01</v>
      </c>
      <c r="H430" s="443">
        <v>1.72</v>
      </c>
      <c r="J430" s="440">
        <v>0.94</v>
      </c>
      <c r="K430" s="440">
        <v>1.01</v>
      </c>
      <c r="L430" s="443">
        <v>1.76</v>
      </c>
      <c r="N430" s="444">
        <f t="shared" si="6"/>
        <v>-5.3191489361702038E-2</v>
      </c>
      <c r="O430" s="444">
        <f t="shared" si="6"/>
        <v>0</v>
      </c>
      <c r="P430" s="444">
        <f t="shared" si="6"/>
        <v>-2.2727272727272707E-2</v>
      </c>
    </row>
    <row r="431" spans="2:16" x14ac:dyDescent="0.2">
      <c r="B431" s="440" t="s">
        <v>1791</v>
      </c>
      <c r="C431" s="440" t="s">
        <v>1804</v>
      </c>
      <c r="D431" s="440" t="s">
        <v>1805</v>
      </c>
      <c r="E431" s="440">
        <v>14</v>
      </c>
      <c r="F431" s="440">
        <v>0.89</v>
      </c>
      <c r="G431" s="443">
        <v>1.01</v>
      </c>
      <c r="H431" s="443">
        <v>1.68</v>
      </c>
      <c r="J431" s="440">
        <v>0.94</v>
      </c>
      <c r="K431" s="440">
        <v>1.01</v>
      </c>
      <c r="L431" s="443">
        <v>1.72</v>
      </c>
      <c r="N431" s="444">
        <f t="shared" si="6"/>
        <v>-5.3191489361702038E-2</v>
      </c>
      <c r="O431" s="444">
        <f t="shared" si="6"/>
        <v>0</v>
      </c>
      <c r="P431" s="444">
        <f t="shared" si="6"/>
        <v>-2.3255813953488413E-2</v>
      </c>
    </row>
    <row r="432" spans="2:16" x14ac:dyDescent="0.2">
      <c r="B432" s="440" t="s">
        <v>1791</v>
      </c>
      <c r="C432" s="440" t="s">
        <v>1804</v>
      </c>
      <c r="D432" s="440" t="s">
        <v>1805</v>
      </c>
      <c r="E432" s="440">
        <v>15</v>
      </c>
      <c r="F432" s="440">
        <v>0.89</v>
      </c>
      <c r="G432" s="443">
        <v>1.01</v>
      </c>
      <c r="H432" s="443">
        <v>1.64</v>
      </c>
      <c r="J432" s="440">
        <v>0.94</v>
      </c>
      <c r="K432" s="440">
        <v>1.01</v>
      </c>
      <c r="L432" s="443">
        <v>1.68</v>
      </c>
      <c r="N432" s="444">
        <f t="shared" si="6"/>
        <v>-5.3191489361702038E-2</v>
      </c>
      <c r="O432" s="444">
        <f t="shared" si="6"/>
        <v>0</v>
      </c>
      <c r="P432" s="444">
        <f t="shared" si="6"/>
        <v>-2.3809523809523836E-2</v>
      </c>
    </row>
    <row r="433" spans="2:16" x14ac:dyDescent="0.2">
      <c r="B433" s="440" t="s">
        <v>1791</v>
      </c>
      <c r="C433" s="440" t="s">
        <v>1804</v>
      </c>
      <c r="D433" s="440" t="s">
        <v>1805</v>
      </c>
      <c r="E433" s="440">
        <v>16</v>
      </c>
      <c r="F433" s="440">
        <v>0.89</v>
      </c>
      <c r="G433" s="443">
        <v>1.01</v>
      </c>
      <c r="H433" s="443">
        <v>1.61</v>
      </c>
      <c r="J433" s="440">
        <v>0.94</v>
      </c>
      <c r="K433" s="440">
        <v>1.01</v>
      </c>
      <c r="L433" s="443">
        <v>1.64</v>
      </c>
      <c r="N433" s="444">
        <f t="shared" si="6"/>
        <v>-5.3191489361702038E-2</v>
      </c>
      <c r="O433" s="444">
        <f t="shared" si="6"/>
        <v>0</v>
      </c>
      <c r="P433" s="444">
        <f t="shared" si="6"/>
        <v>-1.8292682926829174E-2</v>
      </c>
    </row>
    <row r="434" spans="2:16" x14ac:dyDescent="0.2">
      <c r="B434" s="440" t="s">
        <v>1791</v>
      </c>
      <c r="C434" s="440" t="s">
        <v>1804</v>
      </c>
      <c r="D434" s="440" t="s">
        <v>1805</v>
      </c>
      <c r="E434" s="440">
        <v>17</v>
      </c>
      <c r="F434" s="440">
        <v>0.89</v>
      </c>
      <c r="G434" s="443">
        <v>1.01</v>
      </c>
      <c r="H434" s="443">
        <v>1.58</v>
      </c>
      <c r="J434" s="440">
        <v>0.94</v>
      </c>
      <c r="K434" s="440">
        <v>1.01</v>
      </c>
      <c r="L434" s="443">
        <v>1.61</v>
      </c>
      <c r="N434" s="444">
        <f t="shared" si="6"/>
        <v>-5.3191489361702038E-2</v>
      </c>
      <c r="O434" s="444">
        <f t="shared" si="6"/>
        <v>0</v>
      </c>
      <c r="P434" s="444">
        <f t="shared" si="6"/>
        <v>-1.8633540372670843E-2</v>
      </c>
    </row>
    <row r="435" spans="2:16" x14ac:dyDescent="0.2">
      <c r="B435" s="440" t="s">
        <v>1791</v>
      </c>
      <c r="C435" s="440" t="s">
        <v>1804</v>
      </c>
      <c r="D435" s="440" t="s">
        <v>1805</v>
      </c>
      <c r="E435" s="440">
        <v>18</v>
      </c>
      <c r="F435" s="440">
        <v>0.89</v>
      </c>
      <c r="G435" s="443">
        <v>1.01</v>
      </c>
      <c r="H435" s="443">
        <v>1.55</v>
      </c>
      <c r="J435" s="440">
        <v>0.94</v>
      </c>
      <c r="K435" s="440">
        <v>1.01</v>
      </c>
      <c r="L435" s="443">
        <v>1.58</v>
      </c>
      <c r="N435" s="444">
        <f t="shared" si="6"/>
        <v>-5.3191489361702038E-2</v>
      </c>
      <c r="O435" s="444">
        <f t="shared" si="6"/>
        <v>0</v>
      </c>
      <c r="P435" s="444">
        <f t="shared" si="6"/>
        <v>-1.8987341772151889E-2</v>
      </c>
    </row>
    <row r="436" spans="2:16" x14ac:dyDescent="0.2">
      <c r="B436" s="440" t="s">
        <v>1791</v>
      </c>
      <c r="C436" s="440" t="s">
        <v>1804</v>
      </c>
      <c r="D436" s="440" t="s">
        <v>1805</v>
      </c>
      <c r="E436" s="440">
        <v>19</v>
      </c>
      <c r="F436" s="440">
        <v>0.89</v>
      </c>
      <c r="G436" s="443">
        <v>1.01</v>
      </c>
      <c r="H436" s="443">
        <v>1.52</v>
      </c>
      <c r="J436" s="440">
        <v>0.94</v>
      </c>
      <c r="K436" s="440">
        <v>1.01</v>
      </c>
      <c r="L436" s="443">
        <v>1.55</v>
      </c>
      <c r="N436" s="444">
        <f t="shared" si="6"/>
        <v>-5.3191489361702038E-2</v>
      </c>
      <c r="O436" s="444">
        <f t="shared" si="6"/>
        <v>0</v>
      </c>
      <c r="P436" s="444">
        <f t="shared" si="6"/>
        <v>-1.9354838709677469E-2</v>
      </c>
    </row>
    <row r="437" spans="2:16" x14ac:dyDescent="0.2">
      <c r="B437" s="440" t="s">
        <v>1791</v>
      </c>
      <c r="C437" s="440" t="s">
        <v>1804</v>
      </c>
      <c r="D437" s="440" t="s">
        <v>1805</v>
      </c>
      <c r="E437" s="440">
        <v>20</v>
      </c>
      <c r="F437" s="440">
        <v>0.89</v>
      </c>
      <c r="G437" s="443">
        <v>1.01</v>
      </c>
      <c r="H437" s="443">
        <v>1.49</v>
      </c>
      <c r="J437" s="440">
        <v>0.94</v>
      </c>
      <c r="K437" s="440">
        <v>1.01</v>
      </c>
      <c r="L437" s="443">
        <v>1.52</v>
      </c>
      <c r="N437" s="444">
        <f t="shared" si="6"/>
        <v>-5.3191489361702038E-2</v>
      </c>
      <c r="O437" s="444">
        <f t="shared" si="6"/>
        <v>0</v>
      </c>
      <c r="P437" s="444">
        <f t="shared" si="6"/>
        <v>-1.9736842105263164E-2</v>
      </c>
    </row>
    <row r="438" spans="2:16" x14ac:dyDescent="0.2">
      <c r="B438" s="440" t="s">
        <v>1791</v>
      </c>
      <c r="C438" s="440" t="s">
        <v>1804</v>
      </c>
      <c r="D438" s="440" t="s">
        <v>1805</v>
      </c>
      <c r="E438" s="440">
        <v>21</v>
      </c>
      <c r="F438" s="440">
        <v>0.89</v>
      </c>
      <c r="G438" s="443">
        <v>1.01</v>
      </c>
      <c r="H438" s="443">
        <v>1.46</v>
      </c>
      <c r="J438" s="440">
        <v>0.94</v>
      </c>
      <c r="K438" s="440">
        <v>1.01</v>
      </c>
      <c r="L438" s="443">
        <v>1.49</v>
      </c>
      <c r="N438" s="444">
        <f t="shared" si="6"/>
        <v>-5.3191489361702038E-2</v>
      </c>
      <c r="O438" s="444">
        <f t="shared" si="6"/>
        <v>0</v>
      </c>
      <c r="P438" s="444">
        <f t="shared" si="6"/>
        <v>-2.0134228187919434E-2</v>
      </c>
    </row>
    <row r="439" spans="2:16" x14ac:dyDescent="0.2">
      <c r="B439" s="440" t="s">
        <v>1791</v>
      </c>
      <c r="C439" s="440" t="s">
        <v>1804</v>
      </c>
      <c r="D439" s="440" t="s">
        <v>1805</v>
      </c>
      <c r="E439" s="440">
        <v>22</v>
      </c>
      <c r="F439" s="440">
        <v>0.89</v>
      </c>
      <c r="G439" s="443">
        <v>1.01</v>
      </c>
      <c r="H439" s="443">
        <v>1.43</v>
      </c>
      <c r="J439" s="440">
        <v>0.94</v>
      </c>
      <c r="K439" s="440">
        <v>1.01</v>
      </c>
      <c r="L439" s="443">
        <v>1.46</v>
      </c>
      <c r="N439" s="444">
        <f t="shared" si="6"/>
        <v>-5.3191489361702038E-2</v>
      </c>
      <c r="O439" s="444">
        <f t="shared" si="6"/>
        <v>0</v>
      </c>
      <c r="P439" s="444">
        <f t="shared" si="6"/>
        <v>-2.0547945205479423E-2</v>
      </c>
    </row>
    <row r="440" spans="2:16" x14ac:dyDescent="0.2">
      <c r="B440" s="440" t="s">
        <v>1791</v>
      </c>
      <c r="C440" s="440" t="s">
        <v>1804</v>
      </c>
      <c r="D440" s="440" t="s">
        <v>1805</v>
      </c>
      <c r="E440" s="440">
        <v>23</v>
      </c>
      <c r="F440" s="440">
        <v>0.89</v>
      </c>
      <c r="G440" s="443">
        <v>1.01</v>
      </c>
      <c r="H440" s="443">
        <v>1.4</v>
      </c>
      <c r="J440" s="440">
        <v>0.94</v>
      </c>
      <c r="K440" s="440">
        <v>1.01</v>
      </c>
      <c r="L440" s="443">
        <v>1.43</v>
      </c>
      <c r="N440" s="444">
        <f t="shared" si="6"/>
        <v>-5.3191489361702038E-2</v>
      </c>
      <c r="O440" s="444">
        <f t="shared" si="6"/>
        <v>0</v>
      </c>
      <c r="P440" s="444">
        <f t="shared" si="6"/>
        <v>-2.0979020979021046E-2</v>
      </c>
    </row>
    <row r="441" spans="2:16" x14ac:dyDescent="0.2">
      <c r="B441" s="440" t="s">
        <v>1791</v>
      </c>
      <c r="C441" s="440" t="s">
        <v>1804</v>
      </c>
      <c r="D441" s="440" t="s">
        <v>1805</v>
      </c>
      <c r="E441" s="440">
        <v>24</v>
      </c>
      <c r="F441" s="440">
        <v>0.89</v>
      </c>
      <c r="G441" s="443">
        <v>1.01</v>
      </c>
      <c r="H441" s="443">
        <v>1.38</v>
      </c>
      <c r="J441" s="440">
        <v>0.94</v>
      </c>
      <c r="K441" s="440">
        <v>1.01</v>
      </c>
      <c r="L441" s="443">
        <v>1.4</v>
      </c>
      <c r="N441" s="444">
        <f t="shared" si="6"/>
        <v>-5.3191489361702038E-2</v>
      </c>
      <c r="O441" s="444">
        <f t="shared" si="6"/>
        <v>0</v>
      </c>
      <c r="P441" s="444">
        <f t="shared" si="6"/>
        <v>-1.4285714285714346E-2</v>
      </c>
    </row>
    <row r="442" spans="2:16" x14ac:dyDescent="0.2">
      <c r="B442" s="440" t="s">
        <v>1791</v>
      </c>
      <c r="C442" s="440" t="s">
        <v>1804</v>
      </c>
      <c r="D442" s="440" t="s">
        <v>1805</v>
      </c>
      <c r="E442" s="440">
        <v>25</v>
      </c>
      <c r="F442" s="440">
        <v>0.89</v>
      </c>
      <c r="G442" s="443">
        <v>1.01</v>
      </c>
      <c r="H442" s="443">
        <v>1.36</v>
      </c>
      <c r="J442" s="440">
        <v>0.94</v>
      </c>
      <c r="K442" s="440">
        <v>1.01</v>
      </c>
      <c r="L442" s="443">
        <v>1.38</v>
      </c>
      <c r="N442" s="444">
        <f t="shared" si="6"/>
        <v>-5.3191489361702038E-2</v>
      </c>
      <c r="O442" s="444">
        <f t="shared" si="6"/>
        <v>0</v>
      </c>
      <c r="P442" s="444">
        <f t="shared" si="6"/>
        <v>-1.4492753623188248E-2</v>
      </c>
    </row>
    <row r="443" spans="2:16" x14ac:dyDescent="0.2">
      <c r="B443" s="440" t="s">
        <v>1791</v>
      </c>
      <c r="C443" s="440" t="s">
        <v>1804</v>
      </c>
      <c r="D443" s="440" t="s">
        <v>1805</v>
      </c>
      <c r="E443" s="440">
        <v>26</v>
      </c>
      <c r="F443" s="440">
        <v>0.89</v>
      </c>
      <c r="G443" s="443">
        <v>1.01</v>
      </c>
      <c r="H443" s="443">
        <v>1.34</v>
      </c>
      <c r="J443" s="440">
        <v>0.94</v>
      </c>
      <c r="K443" s="440">
        <v>1.01</v>
      </c>
      <c r="L443" s="443">
        <v>1.36</v>
      </c>
      <c r="N443" s="444">
        <f t="shared" si="6"/>
        <v>-5.3191489361702038E-2</v>
      </c>
      <c r="O443" s="444">
        <f t="shared" si="6"/>
        <v>0</v>
      </c>
      <c r="P443" s="444">
        <f t="shared" si="6"/>
        <v>-1.4705882352941235E-2</v>
      </c>
    </row>
    <row r="444" spans="2:16" x14ac:dyDescent="0.2">
      <c r="B444" s="440" t="s">
        <v>1791</v>
      </c>
      <c r="C444" s="440" t="s">
        <v>1804</v>
      </c>
      <c r="D444" s="440" t="s">
        <v>1805</v>
      </c>
      <c r="E444" s="440">
        <v>27</v>
      </c>
      <c r="F444" s="440">
        <v>0.89</v>
      </c>
      <c r="G444" s="443">
        <v>1.01</v>
      </c>
      <c r="H444" s="443">
        <v>1.32</v>
      </c>
      <c r="J444" s="440">
        <v>0.94</v>
      </c>
      <c r="K444" s="440">
        <v>1.01</v>
      </c>
      <c r="L444" s="443">
        <v>1.34</v>
      </c>
      <c r="N444" s="444">
        <f t="shared" si="6"/>
        <v>-5.3191489361702038E-2</v>
      </c>
      <c r="O444" s="444">
        <f t="shared" si="6"/>
        <v>0</v>
      </c>
      <c r="P444" s="444">
        <f t="shared" si="6"/>
        <v>-1.4925373134328401E-2</v>
      </c>
    </row>
    <row r="445" spans="2:16" x14ac:dyDescent="0.2">
      <c r="B445" s="440" t="s">
        <v>1791</v>
      </c>
      <c r="C445" s="440" t="s">
        <v>1804</v>
      </c>
      <c r="D445" s="440" t="s">
        <v>1805</v>
      </c>
      <c r="E445" s="440">
        <v>28</v>
      </c>
      <c r="F445" s="440">
        <v>0.89</v>
      </c>
      <c r="G445" s="443">
        <v>1.01</v>
      </c>
      <c r="H445" s="443">
        <v>1.3</v>
      </c>
      <c r="J445" s="440">
        <v>0.94</v>
      </c>
      <c r="K445" s="440">
        <v>1.01</v>
      </c>
      <c r="L445" s="443">
        <v>1.32</v>
      </c>
      <c r="N445" s="444">
        <f t="shared" si="6"/>
        <v>-5.3191489361702038E-2</v>
      </c>
      <c r="O445" s="444">
        <f t="shared" si="6"/>
        <v>0</v>
      </c>
      <c r="P445" s="444">
        <f t="shared" si="6"/>
        <v>-1.5151515151515138E-2</v>
      </c>
    </row>
    <row r="446" spans="2:16" x14ac:dyDescent="0.2">
      <c r="B446" s="440" t="s">
        <v>1791</v>
      </c>
      <c r="C446" s="440" t="s">
        <v>1804</v>
      </c>
      <c r="D446" s="440" t="s">
        <v>1805</v>
      </c>
      <c r="E446" s="440">
        <v>29</v>
      </c>
      <c r="F446" s="440">
        <v>0.89</v>
      </c>
      <c r="G446" s="443">
        <v>1.01</v>
      </c>
      <c r="H446" s="443">
        <v>1.28</v>
      </c>
      <c r="J446" s="440">
        <v>0.94</v>
      </c>
      <c r="K446" s="440">
        <v>1.01</v>
      </c>
      <c r="L446" s="443">
        <v>1.3</v>
      </c>
      <c r="N446" s="444">
        <f t="shared" si="6"/>
        <v>-5.3191489361702038E-2</v>
      </c>
      <c r="O446" s="444">
        <f t="shared" si="6"/>
        <v>0</v>
      </c>
      <c r="P446" s="444">
        <f t="shared" si="6"/>
        <v>-1.5384615384615441E-2</v>
      </c>
    </row>
    <row r="447" spans="2:16" x14ac:dyDescent="0.2">
      <c r="B447" s="440" t="s">
        <v>1791</v>
      </c>
      <c r="C447" s="440" t="s">
        <v>1804</v>
      </c>
      <c r="D447" s="440" t="s">
        <v>1805</v>
      </c>
      <c r="E447" s="440">
        <v>30</v>
      </c>
      <c r="F447" s="440">
        <v>0.89</v>
      </c>
      <c r="G447" s="443">
        <v>1.01</v>
      </c>
      <c r="H447" s="443">
        <v>1.27</v>
      </c>
      <c r="J447" s="440">
        <v>0.94</v>
      </c>
      <c r="K447" s="440">
        <v>1.01</v>
      </c>
      <c r="L447" s="443">
        <v>1.28</v>
      </c>
      <c r="N447" s="444">
        <f t="shared" si="6"/>
        <v>-5.3191489361702038E-2</v>
      </c>
      <c r="O447" s="444">
        <f t="shared" si="6"/>
        <v>0</v>
      </c>
      <c r="P447" s="444">
        <f t="shared" si="6"/>
        <v>-7.8125E-3</v>
      </c>
    </row>
    <row r="448" spans="2:16" x14ac:dyDescent="0.2">
      <c r="B448" s="440" t="s">
        <v>1791</v>
      </c>
      <c r="C448" s="440" t="s">
        <v>1804</v>
      </c>
      <c r="D448" s="440" t="s">
        <v>1805</v>
      </c>
      <c r="E448" s="440">
        <v>31</v>
      </c>
      <c r="F448" s="440">
        <v>0.89</v>
      </c>
      <c r="G448" s="443">
        <v>1.01</v>
      </c>
      <c r="H448" s="443">
        <v>1.26</v>
      </c>
      <c r="J448" s="440">
        <v>0.94</v>
      </c>
      <c r="K448" s="440">
        <v>1.01</v>
      </c>
      <c r="L448" s="443">
        <v>1.27</v>
      </c>
      <c r="N448" s="444">
        <f t="shared" si="6"/>
        <v>-5.3191489361702038E-2</v>
      </c>
      <c r="O448" s="444">
        <f t="shared" si="6"/>
        <v>0</v>
      </c>
      <c r="P448" s="444">
        <f t="shared" si="6"/>
        <v>-7.8740157480314821E-3</v>
      </c>
    </row>
    <row r="449" spans="2:16" x14ac:dyDescent="0.2">
      <c r="B449" s="440" t="s">
        <v>1791</v>
      </c>
      <c r="C449" s="440" t="s">
        <v>1804</v>
      </c>
      <c r="D449" s="440" t="s">
        <v>1805</v>
      </c>
      <c r="E449" s="440">
        <v>32</v>
      </c>
      <c r="F449" s="440">
        <v>0.89</v>
      </c>
      <c r="G449" s="443">
        <v>1.01</v>
      </c>
      <c r="H449" s="443">
        <v>1.25</v>
      </c>
      <c r="J449" s="440">
        <v>0.94</v>
      </c>
      <c r="K449" s="440">
        <v>1.01</v>
      </c>
      <c r="L449" s="443">
        <v>1.26</v>
      </c>
      <c r="N449" s="444">
        <f t="shared" si="6"/>
        <v>-5.3191489361702038E-2</v>
      </c>
      <c r="O449" s="444">
        <f t="shared" si="6"/>
        <v>0</v>
      </c>
      <c r="P449" s="444">
        <f t="shared" si="6"/>
        <v>-7.9365079365079083E-3</v>
      </c>
    </row>
    <row r="450" spans="2:16" x14ac:dyDescent="0.2">
      <c r="B450" s="440" t="s">
        <v>1791</v>
      </c>
      <c r="C450" s="440" t="s">
        <v>1804</v>
      </c>
      <c r="D450" s="440" t="s">
        <v>1805</v>
      </c>
      <c r="E450" s="440">
        <v>33</v>
      </c>
      <c r="F450" s="440">
        <v>0.89</v>
      </c>
      <c r="G450" s="443">
        <v>1.01</v>
      </c>
      <c r="H450" s="443">
        <v>1.24</v>
      </c>
      <c r="J450" s="440">
        <v>0.94</v>
      </c>
      <c r="K450" s="440">
        <v>1.01</v>
      </c>
      <c r="L450" s="443">
        <v>1.25</v>
      </c>
      <c r="N450" s="444">
        <f t="shared" si="6"/>
        <v>-5.3191489361702038E-2</v>
      </c>
      <c r="O450" s="444">
        <f t="shared" si="6"/>
        <v>0</v>
      </c>
      <c r="P450" s="444">
        <f t="shared" si="6"/>
        <v>-8.0000000000000071E-3</v>
      </c>
    </row>
    <row r="451" spans="2:16" x14ac:dyDescent="0.2">
      <c r="B451" s="440" t="s">
        <v>1791</v>
      </c>
      <c r="C451" s="440" t="s">
        <v>1804</v>
      </c>
      <c r="D451" s="440" t="s">
        <v>1805</v>
      </c>
      <c r="E451" s="440">
        <v>34</v>
      </c>
      <c r="F451" s="440">
        <v>0.89</v>
      </c>
      <c r="G451" s="443">
        <v>1.01</v>
      </c>
      <c r="H451" s="443">
        <v>1.23</v>
      </c>
      <c r="J451" s="440">
        <v>0.94</v>
      </c>
      <c r="K451" s="440">
        <v>1.01</v>
      </c>
      <c r="L451" s="443">
        <v>1.24</v>
      </c>
      <c r="N451" s="444">
        <f t="shared" si="6"/>
        <v>-5.3191489361702038E-2</v>
      </c>
      <c r="O451" s="444">
        <f t="shared" si="6"/>
        <v>0</v>
      </c>
      <c r="P451" s="444">
        <f t="shared" si="6"/>
        <v>-8.0645161290322509E-3</v>
      </c>
    </row>
    <row r="452" spans="2:16" x14ac:dyDescent="0.2">
      <c r="B452" s="440" t="s">
        <v>1791</v>
      </c>
      <c r="C452" s="440" t="s">
        <v>1804</v>
      </c>
      <c r="D452" s="440" t="s">
        <v>1805</v>
      </c>
      <c r="E452" s="440">
        <v>35</v>
      </c>
      <c r="F452" s="440">
        <v>0.89</v>
      </c>
      <c r="G452" s="443">
        <v>1.01</v>
      </c>
      <c r="H452" s="443">
        <v>1.22</v>
      </c>
      <c r="J452" s="440">
        <v>0.94</v>
      </c>
      <c r="K452" s="440">
        <v>1.01</v>
      </c>
      <c r="L452" s="443">
        <v>1.23</v>
      </c>
      <c r="N452" s="444">
        <f t="shared" si="6"/>
        <v>-5.3191489361702038E-2</v>
      </c>
      <c r="O452" s="444">
        <f t="shared" si="6"/>
        <v>0</v>
      </c>
      <c r="P452" s="444">
        <f t="shared" si="6"/>
        <v>-8.1300813008130524E-3</v>
      </c>
    </row>
    <row r="453" spans="2:16" x14ac:dyDescent="0.2">
      <c r="B453" s="440" t="s">
        <v>1791</v>
      </c>
      <c r="C453" s="440" t="s">
        <v>1804</v>
      </c>
      <c r="D453" s="440" t="s">
        <v>1805</v>
      </c>
      <c r="E453" s="440">
        <v>36</v>
      </c>
      <c r="F453" s="440">
        <v>0.89</v>
      </c>
      <c r="G453" s="443">
        <v>1.01</v>
      </c>
      <c r="H453" s="443">
        <v>1.21</v>
      </c>
      <c r="J453" s="440">
        <v>0.94</v>
      </c>
      <c r="K453" s="440">
        <v>1.01</v>
      </c>
      <c r="L453" s="443">
        <v>1.22</v>
      </c>
      <c r="N453" s="444">
        <f t="shared" si="6"/>
        <v>-5.3191489361702038E-2</v>
      </c>
      <c r="O453" s="444">
        <f t="shared" si="6"/>
        <v>0</v>
      </c>
      <c r="P453" s="444">
        <f t="shared" si="6"/>
        <v>-8.1967213114754189E-3</v>
      </c>
    </row>
    <row r="454" spans="2:16" x14ac:dyDescent="0.2">
      <c r="B454" s="440" t="s">
        <v>1791</v>
      </c>
      <c r="C454" s="440" t="s">
        <v>1804</v>
      </c>
      <c r="D454" s="440" t="s">
        <v>1805</v>
      </c>
      <c r="E454" s="440">
        <v>37</v>
      </c>
      <c r="F454" s="440">
        <v>0.89</v>
      </c>
      <c r="G454" s="443">
        <v>1.01</v>
      </c>
      <c r="H454" s="443">
        <v>1.2</v>
      </c>
      <c r="J454" s="440">
        <v>0.94</v>
      </c>
      <c r="K454" s="440">
        <v>1.01</v>
      </c>
      <c r="L454" s="443">
        <v>1.21</v>
      </c>
      <c r="N454" s="444">
        <f t="shared" si="6"/>
        <v>-5.3191489361702038E-2</v>
      </c>
      <c r="O454" s="444">
        <f t="shared" si="6"/>
        <v>0</v>
      </c>
      <c r="P454" s="444">
        <f t="shared" si="6"/>
        <v>-8.2644628099173278E-3</v>
      </c>
    </row>
    <row r="455" spans="2:16" x14ac:dyDescent="0.2">
      <c r="B455" s="440" t="s">
        <v>1791</v>
      </c>
      <c r="C455" s="440" t="s">
        <v>1804</v>
      </c>
      <c r="D455" s="440" t="s">
        <v>1805</v>
      </c>
      <c r="E455" s="440">
        <v>38</v>
      </c>
      <c r="F455" s="440">
        <v>0.89</v>
      </c>
      <c r="G455" s="443">
        <v>1.01</v>
      </c>
      <c r="H455" s="443">
        <v>1.19</v>
      </c>
      <c r="J455" s="440">
        <v>0.94</v>
      </c>
      <c r="K455" s="440">
        <v>1.01</v>
      </c>
      <c r="L455" s="443">
        <v>1.2</v>
      </c>
      <c r="N455" s="444">
        <f t="shared" si="6"/>
        <v>-5.3191489361702038E-2</v>
      </c>
      <c r="O455" s="444">
        <f t="shared" si="6"/>
        <v>0</v>
      </c>
      <c r="P455" s="444">
        <f t="shared" si="6"/>
        <v>-8.3333333333333037E-3</v>
      </c>
    </row>
    <row r="456" spans="2:16" x14ac:dyDescent="0.2">
      <c r="B456" s="440" t="s">
        <v>1791</v>
      </c>
      <c r="C456" s="440" t="s">
        <v>1804</v>
      </c>
      <c r="D456" s="440" t="s">
        <v>1805</v>
      </c>
      <c r="E456" s="440">
        <v>39</v>
      </c>
      <c r="F456" s="440">
        <v>0.89</v>
      </c>
      <c r="G456" s="443">
        <v>1.01</v>
      </c>
      <c r="H456" s="443">
        <v>1.18</v>
      </c>
      <c r="J456" s="440">
        <v>0.94</v>
      </c>
      <c r="K456" s="440">
        <v>1.01</v>
      </c>
      <c r="L456" s="443">
        <v>1.19</v>
      </c>
      <c r="N456" s="444">
        <f t="shared" si="6"/>
        <v>-5.3191489361702038E-2</v>
      </c>
      <c r="O456" s="444">
        <f t="shared" si="6"/>
        <v>0</v>
      </c>
      <c r="P456" s="444">
        <f t="shared" si="6"/>
        <v>-8.4033613445377853E-3</v>
      </c>
    </row>
    <row r="457" spans="2:16" x14ac:dyDescent="0.2">
      <c r="B457" s="440" t="s">
        <v>1791</v>
      </c>
      <c r="C457" s="440" t="s">
        <v>1804</v>
      </c>
      <c r="D457" s="440" t="s">
        <v>1805</v>
      </c>
      <c r="E457" s="440">
        <v>40</v>
      </c>
      <c r="F457" s="440">
        <v>0.89</v>
      </c>
      <c r="G457" s="443">
        <v>1.01</v>
      </c>
      <c r="H457" s="443">
        <v>1.17</v>
      </c>
      <c r="J457" s="440">
        <v>0.94</v>
      </c>
      <c r="K457" s="440">
        <v>1.01</v>
      </c>
      <c r="L457" s="443">
        <v>1.18</v>
      </c>
      <c r="N457" s="444">
        <f t="shared" si="6"/>
        <v>-5.3191489361702038E-2</v>
      </c>
      <c r="O457" s="444">
        <f t="shared" si="6"/>
        <v>0</v>
      </c>
      <c r="P457" s="444">
        <f t="shared" si="6"/>
        <v>-8.4745762711864181E-3</v>
      </c>
    </row>
    <row r="458" spans="2:16" x14ac:dyDescent="0.2">
      <c r="B458" s="440" t="s">
        <v>1791</v>
      </c>
      <c r="C458" s="440" t="s">
        <v>1804</v>
      </c>
      <c r="D458" s="440" t="s">
        <v>1805</v>
      </c>
      <c r="E458" s="440">
        <v>41</v>
      </c>
      <c r="F458" s="440">
        <v>0.89</v>
      </c>
      <c r="G458" s="443">
        <v>1.01</v>
      </c>
      <c r="H458" s="443">
        <v>1.1599999999999999</v>
      </c>
      <c r="J458" s="440">
        <v>0.94</v>
      </c>
      <c r="K458" s="440">
        <v>1.01</v>
      </c>
      <c r="L458" s="443">
        <v>1.17</v>
      </c>
      <c r="N458" s="444">
        <f t="shared" si="6"/>
        <v>-5.3191489361702038E-2</v>
      </c>
      <c r="O458" s="444">
        <f t="shared" si="6"/>
        <v>0</v>
      </c>
      <c r="P458" s="444">
        <f t="shared" si="6"/>
        <v>-8.5470085470085166E-3</v>
      </c>
    </row>
    <row r="459" spans="2:16" x14ac:dyDescent="0.2">
      <c r="B459" s="440" t="s">
        <v>1791</v>
      </c>
      <c r="C459" s="440" t="s">
        <v>1804</v>
      </c>
      <c r="D459" s="440" t="s">
        <v>1805</v>
      </c>
      <c r="E459" s="440">
        <v>42</v>
      </c>
      <c r="F459" s="440">
        <v>0.89</v>
      </c>
      <c r="G459" s="443">
        <v>1.01</v>
      </c>
      <c r="H459" s="443">
        <v>1.1499999999999999</v>
      </c>
      <c r="J459" s="440">
        <v>0.94</v>
      </c>
      <c r="K459" s="440">
        <v>1.01</v>
      </c>
      <c r="L459" s="443">
        <v>1.1599999999999999</v>
      </c>
      <c r="N459" s="444">
        <f t="shared" si="6"/>
        <v>-5.3191489361702038E-2</v>
      </c>
      <c r="O459" s="444">
        <f t="shared" si="6"/>
        <v>0</v>
      </c>
      <c r="P459" s="444">
        <f t="shared" si="6"/>
        <v>-8.6206896551723755E-3</v>
      </c>
    </row>
    <row r="460" spans="2:16" x14ac:dyDescent="0.2">
      <c r="B460" s="440" t="s">
        <v>1791</v>
      </c>
      <c r="C460" s="440" t="s">
        <v>1804</v>
      </c>
      <c r="D460" s="440" t="s">
        <v>1805</v>
      </c>
      <c r="E460" s="440">
        <v>43</v>
      </c>
      <c r="F460" s="440">
        <v>0.89</v>
      </c>
      <c r="G460" s="443">
        <v>1.01</v>
      </c>
      <c r="H460" s="443">
        <v>1.1399999999999999</v>
      </c>
      <c r="J460" s="440">
        <v>0.94</v>
      </c>
      <c r="K460" s="440">
        <v>1.01</v>
      </c>
      <c r="L460" s="443">
        <v>1.1499999999999999</v>
      </c>
      <c r="N460" s="444">
        <f t="shared" si="6"/>
        <v>-5.3191489361702038E-2</v>
      </c>
      <c r="O460" s="444">
        <f t="shared" si="6"/>
        <v>0</v>
      </c>
      <c r="P460" s="444">
        <f t="shared" si="6"/>
        <v>-8.6956521739131043E-3</v>
      </c>
    </row>
    <row r="461" spans="2:16" x14ac:dyDescent="0.2">
      <c r="B461" s="440" t="s">
        <v>1791</v>
      </c>
      <c r="C461" s="440" t="s">
        <v>1804</v>
      </c>
      <c r="D461" s="440" t="s">
        <v>1805</v>
      </c>
      <c r="E461" s="440">
        <v>44</v>
      </c>
      <c r="F461" s="440">
        <v>0.89</v>
      </c>
      <c r="G461" s="443">
        <v>1.01</v>
      </c>
      <c r="H461" s="443">
        <v>1.1299999999999999</v>
      </c>
      <c r="J461" s="440">
        <v>0.94</v>
      </c>
      <c r="K461" s="440">
        <v>1.01</v>
      </c>
      <c r="L461" s="443">
        <v>1.1399999999999999</v>
      </c>
      <c r="N461" s="444">
        <f t="shared" ref="N461:P524" si="7">F461/J461-1</f>
        <v>-5.3191489361702038E-2</v>
      </c>
      <c r="O461" s="444">
        <f t="shared" si="7"/>
        <v>0</v>
      </c>
      <c r="P461" s="444">
        <f t="shared" si="7"/>
        <v>-8.7719298245614308E-3</v>
      </c>
    </row>
    <row r="462" spans="2:16" x14ac:dyDescent="0.2">
      <c r="B462" s="440" t="s">
        <v>1791</v>
      </c>
      <c r="C462" s="440" t="s">
        <v>1804</v>
      </c>
      <c r="D462" s="440" t="s">
        <v>1805</v>
      </c>
      <c r="E462" s="440">
        <v>45</v>
      </c>
      <c r="F462" s="440">
        <v>0.89</v>
      </c>
      <c r="G462" s="443">
        <v>1.01</v>
      </c>
      <c r="H462" s="443">
        <v>1.1200000000000001</v>
      </c>
      <c r="J462" s="440">
        <v>0.94</v>
      </c>
      <c r="K462" s="440">
        <v>1.01</v>
      </c>
      <c r="L462" s="443">
        <v>1.1299999999999999</v>
      </c>
      <c r="N462" s="444">
        <f t="shared" si="7"/>
        <v>-5.3191489361702038E-2</v>
      </c>
      <c r="O462" s="444">
        <f t="shared" si="7"/>
        <v>0</v>
      </c>
      <c r="P462" s="444">
        <f t="shared" si="7"/>
        <v>-8.8495575221236855E-3</v>
      </c>
    </row>
    <row r="463" spans="2:16" x14ac:dyDescent="0.2">
      <c r="B463" s="440" t="s">
        <v>1791</v>
      </c>
      <c r="C463" s="440" t="s">
        <v>1804</v>
      </c>
      <c r="D463" s="440" t="s">
        <v>1805</v>
      </c>
      <c r="E463" s="440">
        <v>46</v>
      </c>
      <c r="F463" s="440">
        <v>0.89</v>
      </c>
      <c r="G463" s="443">
        <v>1.01</v>
      </c>
      <c r="H463" s="443">
        <v>1.1100000000000001</v>
      </c>
      <c r="J463" s="440">
        <v>0.94</v>
      </c>
      <c r="K463" s="440">
        <v>1.01</v>
      </c>
      <c r="L463" s="443">
        <v>1.1200000000000001</v>
      </c>
      <c r="N463" s="444">
        <f t="shared" si="7"/>
        <v>-5.3191489361702038E-2</v>
      </c>
      <c r="O463" s="444">
        <f t="shared" si="7"/>
        <v>0</v>
      </c>
      <c r="P463" s="444">
        <f t="shared" si="7"/>
        <v>-8.9285714285713969E-3</v>
      </c>
    </row>
    <row r="464" spans="2:16" x14ac:dyDescent="0.2">
      <c r="B464" s="440" t="s">
        <v>1791</v>
      </c>
      <c r="C464" s="440" t="s">
        <v>1804</v>
      </c>
      <c r="D464" s="440" t="s">
        <v>1805</v>
      </c>
      <c r="E464" s="440">
        <v>47</v>
      </c>
      <c r="F464" s="440">
        <v>0.89</v>
      </c>
      <c r="G464" s="443">
        <v>1.01</v>
      </c>
      <c r="H464" s="443">
        <v>1.1000000000000001</v>
      </c>
      <c r="J464" s="440">
        <v>0.94</v>
      </c>
      <c r="K464" s="440">
        <v>1.01</v>
      </c>
      <c r="L464" s="443">
        <v>1.1100000000000001</v>
      </c>
      <c r="N464" s="444">
        <f t="shared" si="7"/>
        <v>-5.3191489361702038E-2</v>
      </c>
      <c r="O464" s="444">
        <f t="shared" si="7"/>
        <v>0</v>
      </c>
      <c r="P464" s="444">
        <f t="shared" si="7"/>
        <v>-9.009009009009028E-3</v>
      </c>
    </row>
    <row r="465" spans="2:16" x14ac:dyDescent="0.2">
      <c r="B465" s="440" t="s">
        <v>1791</v>
      </c>
      <c r="C465" s="440" t="s">
        <v>1804</v>
      </c>
      <c r="D465" s="440" t="s">
        <v>1805</v>
      </c>
      <c r="E465" s="440">
        <v>48</v>
      </c>
      <c r="F465" s="440">
        <v>0.89</v>
      </c>
      <c r="G465" s="443">
        <v>1.01</v>
      </c>
      <c r="H465" s="443">
        <v>1.0900000000000001</v>
      </c>
      <c r="J465" s="440">
        <v>0.94</v>
      </c>
      <c r="K465" s="440">
        <v>1.01</v>
      </c>
      <c r="L465" s="443">
        <v>1.1000000000000001</v>
      </c>
      <c r="N465" s="444">
        <f t="shared" si="7"/>
        <v>-5.3191489361702038E-2</v>
      </c>
      <c r="O465" s="444">
        <f t="shared" si="7"/>
        <v>0</v>
      </c>
      <c r="P465" s="444">
        <f t="shared" si="7"/>
        <v>-9.0909090909091494E-3</v>
      </c>
    </row>
    <row r="466" spans="2:16" x14ac:dyDescent="0.2">
      <c r="B466" s="440" t="s">
        <v>1791</v>
      </c>
      <c r="C466" s="440" t="s">
        <v>1804</v>
      </c>
      <c r="D466" s="440" t="s">
        <v>1805</v>
      </c>
      <c r="E466" s="440">
        <v>49</v>
      </c>
      <c r="F466" s="440">
        <v>0.89</v>
      </c>
      <c r="G466" s="443">
        <v>1.01</v>
      </c>
      <c r="H466" s="443">
        <v>1.0900000000000001</v>
      </c>
      <c r="J466" s="440">
        <v>0.94</v>
      </c>
      <c r="K466" s="440">
        <v>1.01</v>
      </c>
      <c r="L466" s="443">
        <v>1.1000000000000001</v>
      </c>
      <c r="N466" s="444">
        <f t="shared" si="7"/>
        <v>-5.3191489361702038E-2</v>
      </c>
      <c r="O466" s="444">
        <f t="shared" si="7"/>
        <v>0</v>
      </c>
      <c r="P466" s="444">
        <f t="shared" si="7"/>
        <v>-9.0909090909091494E-3</v>
      </c>
    </row>
    <row r="467" spans="2:16" x14ac:dyDescent="0.2">
      <c r="B467" s="440" t="s">
        <v>1791</v>
      </c>
      <c r="C467" s="440" t="s">
        <v>1804</v>
      </c>
      <c r="D467" s="440" t="s">
        <v>1805</v>
      </c>
      <c r="E467" s="440">
        <v>50</v>
      </c>
      <c r="F467" s="440">
        <v>0.89</v>
      </c>
      <c r="G467" s="443">
        <v>1.01</v>
      </c>
      <c r="H467" s="443">
        <v>1.08</v>
      </c>
      <c r="J467" s="440">
        <v>0.94</v>
      </c>
      <c r="K467" s="440">
        <v>1.01</v>
      </c>
      <c r="L467" s="443">
        <v>1.0900000000000001</v>
      </c>
      <c r="N467" s="444">
        <f t="shared" si="7"/>
        <v>-5.3191489361702038E-2</v>
      </c>
      <c r="O467" s="444">
        <f t="shared" si="7"/>
        <v>0</v>
      </c>
      <c r="P467" s="444">
        <f t="shared" si="7"/>
        <v>-9.1743119266055606E-3</v>
      </c>
    </row>
    <row r="468" spans="2:16" x14ac:dyDescent="0.2">
      <c r="B468" s="440" t="s">
        <v>1791</v>
      </c>
      <c r="C468" s="440" t="s">
        <v>1804</v>
      </c>
      <c r="D468" s="440" t="s">
        <v>1805</v>
      </c>
      <c r="E468" s="440">
        <v>51</v>
      </c>
      <c r="F468" s="440">
        <v>0.89</v>
      </c>
      <c r="G468" s="443">
        <v>1.01</v>
      </c>
      <c r="H468" s="443">
        <v>1.08</v>
      </c>
      <c r="J468" s="440">
        <v>0.94</v>
      </c>
      <c r="K468" s="440">
        <v>1.01</v>
      </c>
      <c r="L468" s="443">
        <v>1.0900000000000001</v>
      </c>
      <c r="N468" s="444">
        <f t="shared" si="7"/>
        <v>-5.3191489361702038E-2</v>
      </c>
      <c r="O468" s="444">
        <f t="shared" si="7"/>
        <v>0</v>
      </c>
      <c r="P468" s="444">
        <f t="shared" si="7"/>
        <v>-9.1743119266055606E-3</v>
      </c>
    </row>
    <row r="469" spans="2:16" x14ac:dyDescent="0.2">
      <c r="B469" s="440" t="s">
        <v>1791</v>
      </c>
      <c r="C469" s="440" t="s">
        <v>1804</v>
      </c>
      <c r="D469" s="440" t="s">
        <v>1805</v>
      </c>
      <c r="E469" s="440">
        <v>52</v>
      </c>
      <c r="F469" s="440">
        <v>0.89</v>
      </c>
      <c r="G469" s="443">
        <v>1.01</v>
      </c>
      <c r="H469" s="443">
        <v>1.07</v>
      </c>
      <c r="J469" s="440">
        <v>0.94</v>
      </c>
      <c r="K469" s="440">
        <v>1.01</v>
      </c>
      <c r="L469" s="443">
        <v>1.08</v>
      </c>
      <c r="N469" s="444">
        <f t="shared" si="7"/>
        <v>-5.3191489361702038E-2</v>
      </c>
      <c r="O469" s="444">
        <f t="shared" si="7"/>
        <v>0</v>
      </c>
      <c r="P469" s="444">
        <f t="shared" si="7"/>
        <v>-9.2592592592593004E-3</v>
      </c>
    </row>
    <row r="470" spans="2:16" x14ac:dyDescent="0.2">
      <c r="B470" s="440" t="s">
        <v>1791</v>
      </c>
      <c r="C470" s="440" t="s">
        <v>1804</v>
      </c>
      <c r="D470" s="440" t="s">
        <v>1805</v>
      </c>
      <c r="E470" s="440">
        <v>53</v>
      </c>
      <c r="F470" s="440">
        <v>0.89</v>
      </c>
      <c r="G470" s="443">
        <v>1.01</v>
      </c>
      <c r="H470" s="443">
        <v>1.07</v>
      </c>
      <c r="J470" s="440">
        <v>0.94</v>
      </c>
      <c r="K470" s="440">
        <v>1.01</v>
      </c>
      <c r="L470" s="443">
        <v>1.08</v>
      </c>
      <c r="N470" s="444">
        <f t="shared" si="7"/>
        <v>-5.3191489361702038E-2</v>
      </c>
      <c r="O470" s="444">
        <f t="shared" si="7"/>
        <v>0</v>
      </c>
      <c r="P470" s="444">
        <f t="shared" si="7"/>
        <v>-9.2592592592593004E-3</v>
      </c>
    </row>
    <row r="471" spans="2:16" x14ac:dyDescent="0.2">
      <c r="B471" s="440" t="s">
        <v>1791</v>
      </c>
      <c r="C471" s="440" t="s">
        <v>1804</v>
      </c>
      <c r="D471" s="440" t="s">
        <v>1805</v>
      </c>
      <c r="E471" s="440">
        <v>54</v>
      </c>
      <c r="F471" s="440">
        <v>0.89</v>
      </c>
      <c r="G471" s="443">
        <v>1.01</v>
      </c>
      <c r="H471" s="443">
        <v>1.06</v>
      </c>
      <c r="J471" s="440">
        <v>0.94</v>
      </c>
      <c r="K471" s="440">
        <v>1.01</v>
      </c>
      <c r="L471" s="443">
        <v>1.07</v>
      </c>
      <c r="N471" s="444">
        <f t="shared" si="7"/>
        <v>-5.3191489361702038E-2</v>
      </c>
      <c r="O471" s="444">
        <f t="shared" si="7"/>
        <v>0</v>
      </c>
      <c r="P471" s="444">
        <f t="shared" si="7"/>
        <v>-9.3457943925233655E-3</v>
      </c>
    </row>
    <row r="472" spans="2:16" x14ac:dyDescent="0.2">
      <c r="B472" s="440" t="s">
        <v>1791</v>
      </c>
      <c r="C472" s="440" t="s">
        <v>1804</v>
      </c>
      <c r="D472" s="440" t="s">
        <v>1805</v>
      </c>
      <c r="E472" s="440">
        <v>55</v>
      </c>
      <c r="F472" s="440">
        <v>0.89</v>
      </c>
      <c r="G472" s="443">
        <v>1.01</v>
      </c>
      <c r="H472" s="443">
        <v>1.06</v>
      </c>
      <c r="J472" s="440">
        <v>0.94</v>
      </c>
      <c r="K472" s="440">
        <v>1.01</v>
      </c>
      <c r="L472" s="443">
        <v>1.07</v>
      </c>
      <c r="N472" s="444">
        <f t="shared" si="7"/>
        <v>-5.3191489361702038E-2</v>
      </c>
      <c r="O472" s="444">
        <f t="shared" si="7"/>
        <v>0</v>
      </c>
      <c r="P472" s="444">
        <f t="shared" si="7"/>
        <v>-9.3457943925233655E-3</v>
      </c>
    </row>
    <row r="473" spans="2:16" x14ac:dyDescent="0.2">
      <c r="B473" s="440" t="s">
        <v>1791</v>
      </c>
      <c r="C473" s="440" t="s">
        <v>1804</v>
      </c>
      <c r="D473" s="440" t="s">
        <v>1805</v>
      </c>
      <c r="E473" s="440">
        <v>56</v>
      </c>
      <c r="F473" s="440">
        <v>0.89</v>
      </c>
      <c r="G473" s="443">
        <v>1.01</v>
      </c>
      <c r="H473" s="443">
        <v>1.05</v>
      </c>
      <c r="J473" s="440">
        <v>0.94</v>
      </c>
      <c r="K473" s="440">
        <v>1.01</v>
      </c>
      <c r="L473" s="443">
        <v>1.06</v>
      </c>
      <c r="N473" s="444">
        <f t="shared" si="7"/>
        <v>-5.3191489361702038E-2</v>
      </c>
      <c r="O473" s="444">
        <f t="shared" si="7"/>
        <v>0</v>
      </c>
      <c r="P473" s="444">
        <f t="shared" si="7"/>
        <v>-9.4339622641509413E-3</v>
      </c>
    </row>
    <row r="474" spans="2:16" x14ac:dyDescent="0.2">
      <c r="B474" s="440" t="s">
        <v>1791</v>
      </c>
      <c r="C474" s="440" t="s">
        <v>1804</v>
      </c>
      <c r="D474" s="440" t="s">
        <v>1805</v>
      </c>
      <c r="E474" s="440">
        <v>57</v>
      </c>
      <c r="F474" s="440">
        <v>0.89</v>
      </c>
      <c r="G474" s="443">
        <v>1.01</v>
      </c>
      <c r="H474" s="443">
        <v>1.05</v>
      </c>
      <c r="J474" s="440">
        <v>0.94</v>
      </c>
      <c r="K474" s="440">
        <v>1.01</v>
      </c>
      <c r="L474" s="443">
        <v>1.06</v>
      </c>
      <c r="N474" s="444">
        <f t="shared" si="7"/>
        <v>-5.3191489361702038E-2</v>
      </c>
      <c r="O474" s="444">
        <f t="shared" si="7"/>
        <v>0</v>
      </c>
      <c r="P474" s="444">
        <f t="shared" si="7"/>
        <v>-9.4339622641509413E-3</v>
      </c>
    </row>
    <row r="475" spans="2:16" x14ac:dyDescent="0.2">
      <c r="B475" s="440" t="s">
        <v>1791</v>
      </c>
      <c r="C475" s="440" t="s">
        <v>1804</v>
      </c>
      <c r="D475" s="440" t="s">
        <v>1805</v>
      </c>
      <c r="E475" s="440">
        <v>58</v>
      </c>
      <c r="F475" s="440">
        <v>0.89</v>
      </c>
      <c r="G475" s="443">
        <v>1.01</v>
      </c>
      <c r="H475" s="443">
        <v>1.05</v>
      </c>
      <c r="J475" s="440">
        <v>0.94</v>
      </c>
      <c r="K475" s="440">
        <v>1.01</v>
      </c>
      <c r="L475" s="443">
        <v>1.05</v>
      </c>
      <c r="N475" s="444">
        <f t="shared" si="7"/>
        <v>-5.3191489361702038E-2</v>
      </c>
      <c r="O475" s="444">
        <f t="shared" si="7"/>
        <v>0</v>
      </c>
      <c r="P475" s="444">
        <f t="shared" si="7"/>
        <v>0</v>
      </c>
    </row>
    <row r="476" spans="2:16" x14ac:dyDescent="0.2">
      <c r="B476" s="440" t="s">
        <v>1791</v>
      </c>
      <c r="C476" s="440" t="s">
        <v>1804</v>
      </c>
      <c r="D476" s="440" t="s">
        <v>1805</v>
      </c>
      <c r="E476" s="440">
        <v>59</v>
      </c>
      <c r="F476" s="440">
        <v>0.89</v>
      </c>
      <c r="G476" s="443">
        <v>1.01</v>
      </c>
      <c r="H476" s="443">
        <v>1.04</v>
      </c>
      <c r="J476" s="440">
        <v>0.94</v>
      </c>
      <c r="K476" s="440">
        <v>1.01</v>
      </c>
      <c r="L476" s="443">
        <v>1.05</v>
      </c>
      <c r="N476" s="444">
        <f t="shared" si="7"/>
        <v>-5.3191489361702038E-2</v>
      </c>
      <c r="O476" s="444">
        <f t="shared" si="7"/>
        <v>0</v>
      </c>
      <c r="P476" s="444">
        <f t="shared" si="7"/>
        <v>-9.52380952380949E-3</v>
      </c>
    </row>
    <row r="477" spans="2:16" x14ac:dyDescent="0.2">
      <c r="B477" s="440" t="s">
        <v>1791</v>
      </c>
      <c r="C477" s="440" t="s">
        <v>1804</v>
      </c>
      <c r="D477" s="440" t="s">
        <v>1805</v>
      </c>
      <c r="E477" s="440">
        <v>60</v>
      </c>
      <c r="F477" s="440">
        <v>0.89</v>
      </c>
      <c r="G477" s="443">
        <v>1.01</v>
      </c>
      <c r="H477" s="443">
        <v>1.04</v>
      </c>
      <c r="J477" s="440">
        <v>0.94</v>
      </c>
      <c r="K477" s="440">
        <v>1.01</v>
      </c>
      <c r="L477" s="443">
        <v>1.05</v>
      </c>
      <c r="N477" s="444">
        <f t="shared" si="7"/>
        <v>-5.3191489361702038E-2</v>
      </c>
      <c r="O477" s="444">
        <f t="shared" si="7"/>
        <v>0</v>
      </c>
      <c r="P477" s="444">
        <f t="shared" si="7"/>
        <v>-9.52380952380949E-3</v>
      </c>
    </row>
    <row r="478" spans="2:16" x14ac:dyDescent="0.2">
      <c r="B478" s="440" t="s">
        <v>1791</v>
      </c>
      <c r="C478" s="440" t="s">
        <v>1804</v>
      </c>
      <c r="D478" s="440" t="s">
        <v>1805</v>
      </c>
      <c r="E478" s="440">
        <v>61</v>
      </c>
      <c r="F478" s="440">
        <v>0.89</v>
      </c>
      <c r="G478" s="443">
        <v>1.01</v>
      </c>
      <c r="H478" s="443">
        <v>1.04</v>
      </c>
      <c r="J478" s="440">
        <v>0.94</v>
      </c>
      <c r="K478" s="440">
        <v>1.01</v>
      </c>
      <c r="L478" s="443">
        <v>1.04</v>
      </c>
      <c r="N478" s="444">
        <f t="shared" si="7"/>
        <v>-5.3191489361702038E-2</v>
      </c>
      <c r="O478" s="444">
        <f t="shared" si="7"/>
        <v>0</v>
      </c>
      <c r="P478" s="444">
        <f t="shared" si="7"/>
        <v>0</v>
      </c>
    </row>
    <row r="479" spans="2:16" x14ac:dyDescent="0.2">
      <c r="B479" s="440" t="s">
        <v>1791</v>
      </c>
      <c r="C479" s="440" t="s">
        <v>1804</v>
      </c>
      <c r="D479" s="440" t="s">
        <v>1805</v>
      </c>
      <c r="E479" s="440">
        <v>62</v>
      </c>
      <c r="F479" s="440">
        <v>0.89</v>
      </c>
      <c r="G479" s="443">
        <v>1.01</v>
      </c>
      <c r="H479" s="443">
        <v>1.03</v>
      </c>
      <c r="J479" s="440">
        <v>0.94</v>
      </c>
      <c r="K479" s="440">
        <v>1.01</v>
      </c>
      <c r="L479" s="443">
        <v>1.04</v>
      </c>
      <c r="N479" s="444">
        <f t="shared" si="7"/>
        <v>-5.3191489361702038E-2</v>
      </c>
      <c r="O479" s="444">
        <f t="shared" si="7"/>
        <v>0</v>
      </c>
      <c r="P479" s="444">
        <f t="shared" si="7"/>
        <v>-9.6153846153845812E-3</v>
      </c>
    </row>
    <row r="480" spans="2:16" x14ac:dyDescent="0.2">
      <c r="B480" s="440" t="s">
        <v>1791</v>
      </c>
      <c r="C480" s="440" t="s">
        <v>1804</v>
      </c>
      <c r="D480" s="440" t="s">
        <v>1805</v>
      </c>
      <c r="E480" s="440">
        <v>63</v>
      </c>
      <c r="F480" s="440">
        <v>0.89</v>
      </c>
      <c r="G480" s="443">
        <v>1.01</v>
      </c>
      <c r="H480" s="443">
        <v>1.03</v>
      </c>
      <c r="J480" s="440">
        <v>0.94</v>
      </c>
      <c r="K480" s="440">
        <v>1.01</v>
      </c>
      <c r="L480" s="443">
        <v>1.04</v>
      </c>
      <c r="N480" s="444">
        <f t="shared" si="7"/>
        <v>-5.3191489361702038E-2</v>
      </c>
      <c r="O480" s="444">
        <f t="shared" si="7"/>
        <v>0</v>
      </c>
      <c r="P480" s="444">
        <f t="shared" si="7"/>
        <v>-9.6153846153845812E-3</v>
      </c>
    </row>
    <row r="481" spans="2:16" x14ac:dyDescent="0.2">
      <c r="B481" s="440" t="s">
        <v>1791</v>
      </c>
      <c r="C481" s="440" t="s">
        <v>1804</v>
      </c>
      <c r="D481" s="440" t="s">
        <v>1805</v>
      </c>
      <c r="E481" s="440">
        <v>64</v>
      </c>
      <c r="F481" s="440">
        <v>0.89</v>
      </c>
      <c r="G481" s="443">
        <v>1.01</v>
      </c>
      <c r="H481" s="443">
        <v>1.03</v>
      </c>
      <c r="J481" s="440">
        <v>0.94</v>
      </c>
      <c r="K481" s="440">
        <v>1.01</v>
      </c>
      <c r="L481" s="443">
        <v>1.03</v>
      </c>
      <c r="N481" s="444">
        <f t="shared" si="7"/>
        <v>-5.3191489361702038E-2</v>
      </c>
      <c r="O481" s="444">
        <f t="shared" si="7"/>
        <v>0</v>
      </c>
      <c r="P481" s="444">
        <f t="shared" si="7"/>
        <v>0</v>
      </c>
    </row>
    <row r="482" spans="2:16" x14ac:dyDescent="0.2">
      <c r="B482" s="440" t="s">
        <v>1791</v>
      </c>
      <c r="C482" s="440" t="s">
        <v>1804</v>
      </c>
      <c r="D482" s="440" t="s">
        <v>1805</v>
      </c>
      <c r="E482" s="440">
        <v>65</v>
      </c>
      <c r="F482" s="440">
        <v>0.89</v>
      </c>
      <c r="G482" s="443">
        <v>1.01</v>
      </c>
      <c r="H482" s="443">
        <v>1.02</v>
      </c>
      <c r="J482" s="440">
        <v>0.94</v>
      </c>
      <c r="K482" s="440">
        <v>1.01</v>
      </c>
      <c r="L482" s="443">
        <v>1.03</v>
      </c>
      <c r="N482" s="444">
        <f t="shared" si="7"/>
        <v>-5.3191489361702038E-2</v>
      </c>
      <c r="O482" s="444">
        <f t="shared" si="7"/>
        <v>0</v>
      </c>
      <c r="P482" s="444">
        <f t="shared" si="7"/>
        <v>-9.7087378640776656E-3</v>
      </c>
    </row>
    <row r="483" spans="2:16" x14ac:dyDescent="0.2">
      <c r="B483" s="440" t="s">
        <v>1791</v>
      </c>
      <c r="C483" s="440" t="s">
        <v>1804</v>
      </c>
      <c r="D483" s="440" t="s">
        <v>1805</v>
      </c>
      <c r="E483" s="440">
        <v>66</v>
      </c>
      <c r="F483" s="440">
        <v>0.89</v>
      </c>
      <c r="G483" s="443">
        <v>1.01</v>
      </c>
      <c r="H483" s="443">
        <v>1.02</v>
      </c>
      <c r="J483" s="440">
        <v>0.94</v>
      </c>
      <c r="K483" s="440">
        <v>1.01</v>
      </c>
      <c r="L483" s="443">
        <v>1.03</v>
      </c>
      <c r="N483" s="444">
        <f t="shared" si="7"/>
        <v>-5.3191489361702038E-2</v>
      </c>
      <c r="O483" s="444">
        <f t="shared" si="7"/>
        <v>0</v>
      </c>
      <c r="P483" s="444">
        <f t="shared" si="7"/>
        <v>-9.7087378640776656E-3</v>
      </c>
    </row>
    <row r="484" spans="2:16" x14ac:dyDescent="0.2">
      <c r="B484" s="440" t="s">
        <v>1791</v>
      </c>
      <c r="C484" s="440" t="s">
        <v>1804</v>
      </c>
      <c r="D484" s="440" t="s">
        <v>1805</v>
      </c>
      <c r="E484" s="440">
        <v>67</v>
      </c>
      <c r="F484" s="440">
        <v>0.89</v>
      </c>
      <c r="G484" s="443">
        <v>1.01</v>
      </c>
      <c r="H484" s="443">
        <v>1.02</v>
      </c>
      <c r="J484" s="440">
        <v>0.94</v>
      </c>
      <c r="K484" s="440">
        <v>1.01</v>
      </c>
      <c r="L484" s="443">
        <v>1.02</v>
      </c>
      <c r="N484" s="444">
        <f t="shared" si="7"/>
        <v>-5.3191489361702038E-2</v>
      </c>
      <c r="O484" s="444">
        <f t="shared" si="7"/>
        <v>0</v>
      </c>
      <c r="P484" s="444">
        <f t="shared" si="7"/>
        <v>0</v>
      </c>
    </row>
    <row r="485" spans="2:16" x14ac:dyDescent="0.2">
      <c r="B485" s="440" t="s">
        <v>1791</v>
      </c>
      <c r="C485" s="440" t="s">
        <v>1804</v>
      </c>
      <c r="D485" s="440" t="s">
        <v>1805</v>
      </c>
      <c r="E485" s="440">
        <v>68</v>
      </c>
      <c r="F485" s="440">
        <v>0.89</v>
      </c>
      <c r="G485" s="443">
        <v>1.01</v>
      </c>
      <c r="H485" s="443">
        <v>1.02</v>
      </c>
      <c r="J485" s="440">
        <v>0.94</v>
      </c>
      <c r="K485" s="440">
        <v>1.01</v>
      </c>
      <c r="L485" s="443">
        <v>1.02</v>
      </c>
      <c r="N485" s="444">
        <f t="shared" si="7"/>
        <v>-5.3191489361702038E-2</v>
      </c>
      <c r="O485" s="444">
        <f t="shared" si="7"/>
        <v>0</v>
      </c>
      <c r="P485" s="444">
        <f t="shared" si="7"/>
        <v>0</v>
      </c>
    </row>
    <row r="486" spans="2:16" x14ac:dyDescent="0.2">
      <c r="B486" s="440" t="s">
        <v>1791</v>
      </c>
      <c r="C486" s="440" t="s">
        <v>1804</v>
      </c>
      <c r="D486" s="440" t="s">
        <v>1805</v>
      </c>
      <c r="E486" s="440">
        <v>69</v>
      </c>
      <c r="F486" s="440">
        <v>0.89</v>
      </c>
      <c r="G486" s="443">
        <v>1.01</v>
      </c>
      <c r="H486" s="443">
        <v>1.01</v>
      </c>
      <c r="J486" s="440">
        <v>0.94</v>
      </c>
      <c r="K486" s="440">
        <v>1.01</v>
      </c>
      <c r="L486" s="443">
        <v>1.02</v>
      </c>
      <c r="N486" s="444">
        <f t="shared" si="7"/>
        <v>-5.3191489361702038E-2</v>
      </c>
      <c r="O486" s="444">
        <f t="shared" si="7"/>
        <v>0</v>
      </c>
      <c r="P486" s="444">
        <f t="shared" si="7"/>
        <v>-9.8039215686274161E-3</v>
      </c>
    </row>
    <row r="487" spans="2:16" x14ac:dyDescent="0.2">
      <c r="B487" s="440" t="s">
        <v>1791</v>
      </c>
      <c r="C487" s="440" t="s">
        <v>1804</v>
      </c>
      <c r="D487" s="440" t="s">
        <v>1805</v>
      </c>
      <c r="E487" s="440">
        <v>70</v>
      </c>
      <c r="F487" s="440">
        <v>0.89</v>
      </c>
      <c r="G487" s="443">
        <v>1.01</v>
      </c>
      <c r="H487" s="443">
        <v>1.01</v>
      </c>
      <c r="J487" s="440">
        <v>0.94</v>
      </c>
      <c r="K487" s="440">
        <v>1.01</v>
      </c>
      <c r="L487" s="443">
        <v>1.01</v>
      </c>
      <c r="N487" s="444">
        <f t="shared" si="7"/>
        <v>-5.3191489361702038E-2</v>
      </c>
      <c r="O487" s="444">
        <f t="shared" si="7"/>
        <v>0</v>
      </c>
      <c r="P487" s="444">
        <f t="shared" si="7"/>
        <v>0</v>
      </c>
    </row>
    <row r="488" spans="2:16" x14ac:dyDescent="0.2">
      <c r="B488" s="440" t="s">
        <v>1791</v>
      </c>
      <c r="C488" s="440" t="s">
        <v>1804</v>
      </c>
      <c r="D488" s="440" t="s">
        <v>1805</v>
      </c>
      <c r="E488" s="440">
        <v>71</v>
      </c>
      <c r="F488" s="440">
        <v>0.89</v>
      </c>
      <c r="G488" s="443">
        <v>1.01</v>
      </c>
      <c r="H488" s="443">
        <v>1.01</v>
      </c>
      <c r="J488" s="440">
        <v>0.94</v>
      </c>
      <c r="K488" s="440">
        <v>1.01</v>
      </c>
      <c r="L488" s="443">
        <v>1.01</v>
      </c>
      <c r="N488" s="444">
        <f t="shared" si="7"/>
        <v>-5.3191489361702038E-2</v>
      </c>
      <c r="O488" s="444">
        <f t="shared" si="7"/>
        <v>0</v>
      </c>
      <c r="P488" s="444">
        <f t="shared" si="7"/>
        <v>0</v>
      </c>
    </row>
    <row r="489" spans="2:16" x14ac:dyDescent="0.2">
      <c r="B489" s="440" t="s">
        <v>1791</v>
      </c>
      <c r="C489" s="440" t="s">
        <v>1804</v>
      </c>
      <c r="D489" s="440" t="s">
        <v>1805</v>
      </c>
      <c r="E489" s="440">
        <v>72</v>
      </c>
      <c r="F489" s="440">
        <v>0.89</v>
      </c>
      <c r="G489" s="443">
        <v>1.01</v>
      </c>
      <c r="H489" s="443">
        <v>1.01</v>
      </c>
      <c r="J489" s="440">
        <v>0.94</v>
      </c>
      <c r="K489" s="440">
        <v>1.01</v>
      </c>
      <c r="L489" s="443">
        <v>1.01</v>
      </c>
      <c r="N489" s="444">
        <f t="shared" si="7"/>
        <v>-5.3191489361702038E-2</v>
      </c>
      <c r="O489" s="444">
        <f t="shared" si="7"/>
        <v>0</v>
      </c>
      <c r="P489" s="444">
        <f t="shared" si="7"/>
        <v>0</v>
      </c>
    </row>
    <row r="490" spans="2:16" x14ac:dyDescent="0.2">
      <c r="B490" s="440" t="s">
        <v>1791</v>
      </c>
      <c r="C490" s="440" t="s">
        <v>1804</v>
      </c>
      <c r="D490" s="440" t="s">
        <v>1805</v>
      </c>
      <c r="E490" s="440">
        <v>73</v>
      </c>
      <c r="F490" s="440">
        <v>0.89</v>
      </c>
      <c r="G490" s="443">
        <v>1.01</v>
      </c>
      <c r="H490" s="443">
        <v>1.01</v>
      </c>
      <c r="J490" s="440">
        <v>0.94</v>
      </c>
      <c r="K490" s="440">
        <v>1.01</v>
      </c>
      <c r="L490" s="443">
        <v>1.01</v>
      </c>
      <c r="N490" s="444">
        <f t="shared" si="7"/>
        <v>-5.3191489361702038E-2</v>
      </c>
      <c r="O490" s="444">
        <f t="shared" si="7"/>
        <v>0</v>
      </c>
      <c r="P490" s="444">
        <f t="shared" si="7"/>
        <v>0</v>
      </c>
    </row>
    <row r="491" spans="2:16" x14ac:dyDescent="0.2">
      <c r="B491" s="440" t="s">
        <v>1791</v>
      </c>
      <c r="C491" s="440" t="s">
        <v>1804</v>
      </c>
      <c r="D491" s="440" t="s">
        <v>1805</v>
      </c>
      <c r="E491" s="440">
        <v>74</v>
      </c>
      <c r="F491" s="440">
        <v>0.89</v>
      </c>
      <c r="G491" s="443">
        <v>1</v>
      </c>
      <c r="H491" s="443">
        <v>1</v>
      </c>
      <c r="J491" s="440">
        <v>0.94</v>
      </c>
      <c r="K491" s="440">
        <v>1.01</v>
      </c>
      <c r="L491" s="443">
        <v>1.01</v>
      </c>
      <c r="N491" s="444">
        <f t="shared" si="7"/>
        <v>-5.3191489361702038E-2</v>
      </c>
      <c r="O491" s="444">
        <f t="shared" si="7"/>
        <v>-9.9009900990099098E-3</v>
      </c>
      <c r="P491" s="444">
        <f t="shared" si="7"/>
        <v>-9.9009900990099098E-3</v>
      </c>
    </row>
    <row r="492" spans="2:16" x14ac:dyDescent="0.2">
      <c r="B492" s="440" t="s">
        <v>1791</v>
      </c>
      <c r="C492" s="440" t="s">
        <v>1804</v>
      </c>
      <c r="D492" s="440" t="s">
        <v>1805</v>
      </c>
      <c r="E492" s="440">
        <v>75</v>
      </c>
      <c r="F492" s="440">
        <v>0.89</v>
      </c>
      <c r="G492" s="443">
        <v>1</v>
      </c>
      <c r="H492" s="443">
        <v>1</v>
      </c>
      <c r="J492" s="440">
        <v>0.94</v>
      </c>
      <c r="K492" s="440">
        <v>1.01</v>
      </c>
      <c r="L492" s="443">
        <v>1</v>
      </c>
      <c r="N492" s="444">
        <f t="shared" si="7"/>
        <v>-5.3191489361702038E-2</v>
      </c>
      <c r="O492" s="444">
        <f t="shared" si="7"/>
        <v>-9.9009900990099098E-3</v>
      </c>
      <c r="P492" s="444">
        <f t="shared" si="7"/>
        <v>0</v>
      </c>
    </row>
    <row r="493" spans="2:16" x14ac:dyDescent="0.2">
      <c r="B493" s="440" t="s">
        <v>1791</v>
      </c>
      <c r="C493" s="440" t="s">
        <v>1804</v>
      </c>
      <c r="D493" s="440" t="s">
        <v>1805</v>
      </c>
      <c r="E493" s="440">
        <v>76</v>
      </c>
      <c r="F493" s="440">
        <v>0.89</v>
      </c>
      <c r="G493" s="443">
        <v>1</v>
      </c>
      <c r="H493" s="443">
        <v>1</v>
      </c>
      <c r="J493" s="440">
        <v>0.94</v>
      </c>
      <c r="K493" s="440">
        <v>1.01</v>
      </c>
      <c r="L493" s="443">
        <v>1</v>
      </c>
      <c r="N493" s="444">
        <f t="shared" si="7"/>
        <v>-5.3191489361702038E-2</v>
      </c>
      <c r="O493" s="444">
        <f t="shared" si="7"/>
        <v>-9.9009900990099098E-3</v>
      </c>
      <c r="P493" s="444">
        <f t="shared" si="7"/>
        <v>0</v>
      </c>
    </row>
    <row r="494" spans="2:16" x14ac:dyDescent="0.2">
      <c r="B494" s="440" t="s">
        <v>1791</v>
      </c>
      <c r="C494" s="440" t="s">
        <v>1804</v>
      </c>
      <c r="D494" s="440" t="s">
        <v>1805</v>
      </c>
      <c r="E494" s="440">
        <v>77</v>
      </c>
      <c r="F494" s="440">
        <v>0.89</v>
      </c>
      <c r="G494" s="443">
        <v>1</v>
      </c>
      <c r="H494" s="443">
        <v>1</v>
      </c>
      <c r="J494" s="440">
        <v>0.94</v>
      </c>
      <c r="K494" s="440">
        <v>1.01</v>
      </c>
      <c r="L494" s="443">
        <v>1</v>
      </c>
      <c r="N494" s="444">
        <f t="shared" si="7"/>
        <v>-5.3191489361702038E-2</v>
      </c>
      <c r="O494" s="444">
        <f t="shared" si="7"/>
        <v>-9.9009900990099098E-3</v>
      </c>
      <c r="P494" s="444">
        <f t="shared" si="7"/>
        <v>0</v>
      </c>
    </row>
    <row r="495" spans="2:16" x14ac:dyDescent="0.2">
      <c r="B495" s="440" t="s">
        <v>1791</v>
      </c>
      <c r="C495" s="440" t="s">
        <v>1804</v>
      </c>
      <c r="D495" s="440" t="s">
        <v>1805</v>
      </c>
      <c r="E495" s="440">
        <v>78</v>
      </c>
      <c r="F495" s="440">
        <v>0.89</v>
      </c>
      <c r="G495" s="443">
        <v>1</v>
      </c>
      <c r="H495" s="443">
        <v>1</v>
      </c>
      <c r="J495" s="440">
        <v>0.94</v>
      </c>
      <c r="K495" s="440">
        <v>1.01</v>
      </c>
      <c r="L495" s="443">
        <v>1</v>
      </c>
      <c r="N495" s="444">
        <f t="shared" si="7"/>
        <v>-5.3191489361702038E-2</v>
      </c>
      <c r="O495" s="444">
        <f t="shared" si="7"/>
        <v>-9.9009900990099098E-3</v>
      </c>
      <c r="P495" s="444">
        <f t="shared" si="7"/>
        <v>0</v>
      </c>
    </row>
    <row r="496" spans="2:16" x14ac:dyDescent="0.2">
      <c r="B496" s="440" t="s">
        <v>1791</v>
      </c>
      <c r="C496" s="440" t="s">
        <v>1804</v>
      </c>
      <c r="D496" s="440" t="s">
        <v>1805</v>
      </c>
      <c r="E496" s="440">
        <v>79</v>
      </c>
      <c r="F496" s="440">
        <v>0.89</v>
      </c>
      <c r="G496" s="443">
        <v>1</v>
      </c>
      <c r="H496" s="443">
        <v>1</v>
      </c>
      <c r="J496" s="440">
        <v>0.94</v>
      </c>
      <c r="K496" s="440">
        <v>1.01</v>
      </c>
      <c r="L496" s="443">
        <v>1</v>
      </c>
      <c r="N496" s="444">
        <f t="shared" si="7"/>
        <v>-5.3191489361702038E-2</v>
      </c>
      <c r="O496" s="444">
        <f t="shared" si="7"/>
        <v>-9.9009900990099098E-3</v>
      </c>
      <c r="P496" s="444">
        <f t="shared" si="7"/>
        <v>0</v>
      </c>
    </row>
    <row r="497" spans="2:16" x14ac:dyDescent="0.2">
      <c r="B497" s="440" t="s">
        <v>1791</v>
      </c>
      <c r="C497" s="440" t="s">
        <v>1804</v>
      </c>
      <c r="D497" s="440" t="s">
        <v>1805</v>
      </c>
      <c r="E497" s="440">
        <v>80</v>
      </c>
      <c r="F497" s="440">
        <v>0.89</v>
      </c>
      <c r="G497" s="443">
        <v>1</v>
      </c>
      <c r="H497" s="443">
        <v>1</v>
      </c>
      <c r="J497" s="440">
        <v>0.94</v>
      </c>
      <c r="K497" s="440">
        <v>1.01</v>
      </c>
      <c r="L497" s="443">
        <v>1</v>
      </c>
      <c r="N497" s="444">
        <f t="shared" si="7"/>
        <v>-5.3191489361702038E-2</v>
      </c>
      <c r="O497" s="444">
        <f t="shared" si="7"/>
        <v>-9.9009900990099098E-3</v>
      </c>
      <c r="P497" s="444">
        <f t="shared" si="7"/>
        <v>0</v>
      </c>
    </row>
    <row r="498" spans="2:16" x14ac:dyDescent="0.2">
      <c r="B498" s="440" t="s">
        <v>1791</v>
      </c>
      <c r="C498" s="440" t="s">
        <v>1804</v>
      </c>
      <c r="D498" s="440" t="s">
        <v>1805</v>
      </c>
      <c r="E498" s="440">
        <v>81</v>
      </c>
      <c r="F498" s="440">
        <v>0.89</v>
      </c>
      <c r="G498" s="443">
        <v>1</v>
      </c>
      <c r="H498" s="443">
        <v>1</v>
      </c>
      <c r="J498" s="440">
        <v>0.94</v>
      </c>
      <c r="K498" s="440">
        <v>1.01</v>
      </c>
      <c r="L498" s="443">
        <v>1</v>
      </c>
      <c r="N498" s="444">
        <f t="shared" si="7"/>
        <v>-5.3191489361702038E-2</v>
      </c>
      <c r="O498" s="444">
        <f t="shared" si="7"/>
        <v>-9.9009900990099098E-3</v>
      </c>
      <c r="P498" s="444">
        <f t="shared" si="7"/>
        <v>0</v>
      </c>
    </row>
    <row r="499" spans="2:16" x14ac:dyDescent="0.2">
      <c r="B499" s="440" t="s">
        <v>1791</v>
      </c>
      <c r="C499" s="440" t="s">
        <v>1804</v>
      </c>
      <c r="D499" s="440" t="s">
        <v>1805</v>
      </c>
      <c r="E499" s="440">
        <v>82</v>
      </c>
      <c r="F499" s="440">
        <v>0.89</v>
      </c>
      <c r="G499" s="443">
        <v>1</v>
      </c>
      <c r="H499" s="443">
        <v>1</v>
      </c>
      <c r="J499" s="440">
        <v>0.94</v>
      </c>
      <c r="K499" s="440">
        <v>1.01</v>
      </c>
      <c r="L499" s="443">
        <v>1</v>
      </c>
      <c r="N499" s="444">
        <f t="shared" si="7"/>
        <v>-5.3191489361702038E-2</v>
      </c>
      <c r="O499" s="444">
        <f t="shared" si="7"/>
        <v>-9.9009900990099098E-3</v>
      </c>
      <c r="P499" s="444">
        <f t="shared" si="7"/>
        <v>0</v>
      </c>
    </row>
    <row r="500" spans="2:16" x14ac:dyDescent="0.2">
      <c r="B500" s="440" t="s">
        <v>1791</v>
      </c>
      <c r="C500" s="440" t="s">
        <v>1804</v>
      </c>
      <c r="D500" s="440" t="s">
        <v>1805</v>
      </c>
      <c r="E500" s="440">
        <v>83</v>
      </c>
      <c r="F500" s="440">
        <v>0.89</v>
      </c>
      <c r="G500" s="443">
        <v>1</v>
      </c>
      <c r="H500" s="443">
        <v>1</v>
      </c>
      <c r="J500" s="440">
        <v>0.94</v>
      </c>
      <c r="K500" s="440">
        <v>1.01</v>
      </c>
      <c r="L500" s="443">
        <v>1</v>
      </c>
      <c r="N500" s="444">
        <f t="shared" si="7"/>
        <v>-5.3191489361702038E-2</v>
      </c>
      <c r="O500" s="444">
        <f t="shared" si="7"/>
        <v>-9.9009900990099098E-3</v>
      </c>
      <c r="P500" s="444">
        <f t="shared" si="7"/>
        <v>0</v>
      </c>
    </row>
    <row r="501" spans="2:16" x14ac:dyDescent="0.2">
      <c r="B501" s="440" t="s">
        <v>1791</v>
      </c>
      <c r="C501" s="440" t="s">
        <v>1804</v>
      </c>
      <c r="D501" s="440" t="s">
        <v>1805</v>
      </c>
      <c r="E501" s="440">
        <v>84</v>
      </c>
      <c r="F501" s="440">
        <v>0.89</v>
      </c>
      <c r="G501" s="443">
        <v>1</v>
      </c>
      <c r="H501" s="443">
        <v>1</v>
      </c>
      <c r="J501" s="440">
        <v>0.94</v>
      </c>
      <c r="K501" s="440">
        <v>1.01</v>
      </c>
      <c r="L501" s="443">
        <v>1</v>
      </c>
      <c r="N501" s="444">
        <f t="shared" si="7"/>
        <v>-5.3191489361702038E-2</v>
      </c>
      <c r="O501" s="444">
        <f t="shared" si="7"/>
        <v>-9.9009900990099098E-3</v>
      </c>
      <c r="P501" s="444">
        <f t="shared" si="7"/>
        <v>0</v>
      </c>
    </row>
    <row r="502" spans="2:16" x14ac:dyDescent="0.2">
      <c r="B502" s="440" t="s">
        <v>1791</v>
      </c>
      <c r="C502" s="440" t="s">
        <v>1804</v>
      </c>
      <c r="D502" s="440" t="s">
        <v>1805</v>
      </c>
      <c r="E502" s="440">
        <v>85</v>
      </c>
      <c r="F502" s="440">
        <v>0.89</v>
      </c>
      <c r="G502" s="443">
        <v>1</v>
      </c>
      <c r="H502" s="443">
        <v>1</v>
      </c>
      <c r="J502" s="440">
        <v>0.94</v>
      </c>
      <c r="K502" s="440">
        <v>1.01</v>
      </c>
      <c r="L502" s="443">
        <v>1</v>
      </c>
      <c r="N502" s="444">
        <f t="shared" si="7"/>
        <v>-5.3191489361702038E-2</v>
      </c>
      <c r="O502" s="444">
        <f t="shared" si="7"/>
        <v>-9.9009900990099098E-3</v>
      </c>
      <c r="P502" s="444">
        <f t="shared" si="7"/>
        <v>0</v>
      </c>
    </row>
    <row r="503" spans="2:16" x14ac:dyDescent="0.2">
      <c r="B503" s="440" t="s">
        <v>1791</v>
      </c>
      <c r="C503" s="440" t="s">
        <v>1804</v>
      </c>
      <c r="D503" s="440" t="s">
        <v>1805</v>
      </c>
      <c r="E503" s="440">
        <v>86</v>
      </c>
      <c r="F503" s="440">
        <v>0.89</v>
      </c>
      <c r="G503" s="443">
        <v>1</v>
      </c>
      <c r="H503" s="443">
        <v>1</v>
      </c>
      <c r="J503" s="440">
        <v>0.94</v>
      </c>
      <c r="K503" s="440">
        <v>1.01</v>
      </c>
      <c r="L503" s="443">
        <v>1</v>
      </c>
      <c r="N503" s="444">
        <f t="shared" si="7"/>
        <v>-5.3191489361702038E-2</v>
      </c>
      <c r="O503" s="444">
        <f t="shared" si="7"/>
        <v>-9.9009900990099098E-3</v>
      </c>
      <c r="P503" s="444">
        <f t="shared" si="7"/>
        <v>0</v>
      </c>
    </row>
    <row r="504" spans="2:16" x14ac:dyDescent="0.2">
      <c r="B504" s="440" t="s">
        <v>1791</v>
      </c>
      <c r="C504" s="440" t="s">
        <v>1804</v>
      </c>
      <c r="D504" s="440" t="s">
        <v>1805</v>
      </c>
      <c r="E504" s="440">
        <v>87</v>
      </c>
      <c r="F504" s="440">
        <v>0.89</v>
      </c>
      <c r="G504" s="443">
        <v>1</v>
      </c>
      <c r="H504" s="443">
        <v>1</v>
      </c>
      <c r="J504" s="440">
        <v>0.94</v>
      </c>
      <c r="K504" s="440">
        <v>1.01</v>
      </c>
      <c r="L504" s="443">
        <v>1</v>
      </c>
      <c r="N504" s="444">
        <f t="shared" si="7"/>
        <v>-5.3191489361702038E-2</v>
      </c>
      <c r="O504" s="444">
        <f t="shared" si="7"/>
        <v>-9.9009900990099098E-3</v>
      </c>
      <c r="P504" s="444">
        <f t="shared" si="7"/>
        <v>0</v>
      </c>
    </row>
    <row r="505" spans="2:16" x14ac:dyDescent="0.2">
      <c r="B505" s="440" t="s">
        <v>1791</v>
      </c>
      <c r="C505" s="440" t="s">
        <v>1804</v>
      </c>
      <c r="D505" s="440" t="s">
        <v>1805</v>
      </c>
      <c r="E505" s="440">
        <v>88</v>
      </c>
      <c r="F505" s="440">
        <v>0.89</v>
      </c>
      <c r="G505" s="443">
        <v>1</v>
      </c>
      <c r="H505" s="443">
        <v>1</v>
      </c>
      <c r="J505" s="440">
        <v>0.94</v>
      </c>
      <c r="K505" s="440">
        <v>1.01</v>
      </c>
      <c r="L505" s="443">
        <v>1</v>
      </c>
      <c r="N505" s="444">
        <f t="shared" si="7"/>
        <v>-5.3191489361702038E-2</v>
      </c>
      <c r="O505" s="444">
        <f t="shared" si="7"/>
        <v>-9.9009900990099098E-3</v>
      </c>
      <c r="P505" s="444">
        <f t="shared" si="7"/>
        <v>0</v>
      </c>
    </row>
    <row r="506" spans="2:16" x14ac:dyDescent="0.2">
      <c r="B506" s="440" t="s">
        <v>1791</v>
      </c>
      <c r="C506" s="440" t="s">
        <v>1804</v>
      </c>
      <c r="D506" s="440" t="s">
        <v>1805</v>
      </c>
      <c r="E506" s="440">
        <v>89</v>
      </c>
      <c r="F506" s="440">
        <v>0.89</v>
      </c>
      <c r="G506" s="443">
        <v>1</v>
      </c>
      <c r="H506" s="443">
        <v>1</v>
      </c>
      <c r="J506" s="440">
        <v>0.94</v>
      </c>
      <c r="K506" s="440">
        <v>1.01</v>
      </c>
      <c r="L506" s="443">
        <v>1</v>
      </c>
      <c r="N506" s="444">
        <f t="shared" si="7"/>
        <v>-5.3191489361702038E-2</v>
      </c>
      <c r="O506" s="444">
        <f t="shared" si="7"/>
        <v>-9.9009900990099098E-3</v>
      </c>
      <c r="P506" s="444">
        <f t="shared" si="7"/>
        <v>0</v>
      </c>
    </row>
    <row r="507" spans="2:16" x14ac:dyDescent="0.2">
      <c r="B507" s="440" t="s">
        <v>1791</v>
      </c>
      <c r="C507" s="440" t="s">
        <v>1804</v>
      </c>
      <c r="D507" s="440" t="s">
        <v>1805</v>
      </c>
      <c r="E507" s="440">
        <v>90</v>
      </c>
      <c r="F507" s="440">
        <v>0.89</v>
      </c>
      <c r="G507" s="443">
        <v>1</v>
      </c>
      <c r="H507" s="443">
        <v>1</v>
      </c>
      <c r="J507" s="440">
        <v>0.94</v>
      </c>
      <c r="K507" s="440">
        <v>1.01</v>
      </c>
      <c r="L507" s="443">
        <v>1</v>
      </c>
      <c r="N507" s="444">
        <f t="shared" si="7"/>
        <v>-5.3191489361702038E-2</v>
      </c>
      <c r="O507" s="444">
        <f t="shared" si="7"/>
        <v>-9.9009900990099098E-3</v>
      </c>
      <c r="P507" s="444">
        <f t="shared" si="7"/>
        <v>0</v>
      </c>
    </row>
    <row r="508" spans="2:16" x14ac:dyDescent="0.2">
      <c r="B508" s="440" t="s">
        <v>1791</v>
      </c>
      <c r="C508" s="440" t="s">
        <v>1804</v>
      </c>
      <c r="D508" s="440" t="s">
        <v>1805</v>
      </c>
      <c r="E508" s="440">
        <v>91</v>
      </c>
      <c r="F508" s="440">
        <v>0.89</v>
      </c>
      <c r="G508" s="443">
        <v>1</v>
      </c>
      <c r="H508" s="443">
        <v>1</v>
      </c>
      <c r="J508" s="440">
        <v>0.94</v>
      </c>
      <c r="K508" s="440">
        <v>1.01</v>
      </c>
      <c r="L508" s="443">
        <v>1</v>
      </c>
      <c r="N508" s="444">
        <f t="shared" si="7"/>
        <v>-5.3191489361702038E-2</v>
      </c>
      <c r="O508" s="444">
        <f t="shared" si="7"/>
        <v>-9.9009900990099098E-3</v>
      </c>
      <c r="P508" s="444">
        <f t="shared" si="7"/>
        <v>0</v>
      </c>
    </row>
    <row r="509" spans="2:16" x14ac:dyDescent="0.2">
      <c r="B509" s="440" t="s">
        <v>1791</v>
      </c>
      <c r="C509" s="440" t="s">
        <v>1804</v>
      </c>
      <c r="D509" s="440" t="s">
        <v>1805</v>
      </c>
      <c r="E509" s="440">
        <v>92</v>
      </c>
      <c r="F509" s="440">
        <v>0.89</v>
      </c>
      <c r="G509" s="443">
        <v>1</v>
      </c>
      <c r="H509" s="443">
        <v>1</v>
      </c>
      <c r="J509" s="440">
        <v>0.94</v>
      </c>
      <c r="K509" s="440">
        <v>1.01</v>
      </c>
      <c r="L509" s="443">
        <v>1</v>
      </c>
      <c r="N509" s="444">
        <f t="shared" si="7"/>
        <v>-5.3191489361702038E-2</v>
      </c>
      <c r="O509" s="444">
        <f t="shared" si="7"/>
        <v>-9.9009900990099098E-3</v>
      </c>
      <c r="P509" s="444">
        <f t="shared" si="7"/>
        <v>0</v>
      </c>
    </row>
    <row r="510" spans="2:16" x14ac:dyDescent="0.2">
      <c r="B510" s="440" t="s">
        <v>1791</v>
      </c>
      <c r="C510" s="440" t="s">
        <v>1804</v>
      </c>
      <c r="D510" s="440" t="s">
        <v>1805</v>
      </c>
      <c r="E510" s="440">
        <v>93</v>
      </c>
      <c r="F510" s="440">
        <v>0.89</v>
      </c>
      <c r="G510" s="443">
        <v>1</v>
      </c>
      <c r="H510" s="443">
        <v>1</v>
      </c>
      <c r="J510" s="440">
        <v>0.94</v>
      </c>
      <c r="K510" s="440">
        <v>1.01</v>
      </c>
      <c r="L510" s="443">
        <v>1</v>
      </c>
      <c r="N510" s="444">
        <f t="shared" si="7"/>
        <v>-5.3191489361702038E-2</v>
      </c>
      <c r="O510" s="444">
        <f t="shared" si="7"/>
        <v>-9.9009900990099098E-3</v>
      </c>
      <c r="P510" s="444">
        <f t="shared" si="7"/>
        <v>0</v>
      </c>
    </row>
    <row r="511" spans="2:16" x14ac:dyDescent="0.2">
      <c r="B511" s="440" t="s">
        <v>1791</v>
      </c>
      <c r="C511" s="440" t="s">
        <v>1804</v>
      </c>
      <c r="D511" s="440" t="s">
        <v>1805</v>
      </c>
      <c r="E511" s="440">
        <v>94</v>
      </c>
      <c r="F511" s="440">
        <v>0.89</v>
      </c>
      <c r="G511" s="443">
        <v>1</v>
      </c>
      <c r="H511" s="443">
        <v>1</v>
      </c>
      <c r="J511" s="440">
        <v>0.94</v>
      </c>
      <c r="K511" s="440">
        <v>1.01</v>
      </c>
      <c r="L511" s="443">
        <v>1</v>
      </c>
      <c r="N511" s="444">
        <f t="shared" si="7"/>
        <v>-5.3191489361702038E-2</v>
      </c>
      <c r="O511" s="444">
        <f t="shared" si="7"/>
        <v>-9.9009900990099098E-3</v>
      </c>
      <c r="P511" s="444">
        <f t="shared" si="7"/>
        <v>0</v>
      </c>
    </row>
    <row r="512" spans="2:16" x14ac:dyDescent="0.2">
      <c r="B512" s="440" t="s">
        <v>1791</v>
      </c>
      <c r="C512" s="440" t="s">
        <v>1804</v>
      </c>
      <c r="D512" s="440" t="s">
        <v>1805</v>
      </c>
      <c r="E512" s="440">
        <v>95</v>
      </c>
      <c r="F512" s="440">
        <v>0.89</v>
      </c>
      <c r="G512" s="443">
        <v>1</v>
      </c>
      <c r="H512" s="443">
        <v>1</v>
      </c>
      <c r="J512" s="440">
        <v>0.94</v>
      </c>
      <c r="K512" s="440">
        <v>1.01</v>
      </c>
      <c r="L512" s="443">
        <v>1</v>
      </c>
      <c r="N512" s="444">
        <f t="shared" si="7"/>
        <v>-5.3191489361702038E-2</v>
      </c>
      <c r="O512" s="444">
        <f t="shared" si="7"/>
        <v>-9.9009900990099098E-3</v>
      </c>
      <c r="P512" s="444">
        <f t="shared" si="7"/>
        <v>0</v>
      </c>
    </row>
    <row r="513" spans="2:16" x14ac:dyDescent="0.2">
      <c r="B513" s="440" t="s">
        <v>1791</v>
      </c>
      <c r="C513" s="440" t="s">
        <v>1804</v>
      </c>
      <c r="D513" s="440" t="s">
        <v>1805</v>
      </c>
      <c r="E513" s="440">
        <v>96</v>
      </c>
      <c r="F513" s="440">
        <v>0.89</v>
      </c>
      <c r="G513" s="443">
        <v>1</v>
      </c>
      <c r="H513" s="443">
        <v>1</v>
      </c>
      <c r="J513" s="440">
        <v>0.94</v>
      </c>
      <c r="K513" s="440">
        <v>1.01</v>
      </c>
      <c r="L513" s="443">
        <v>1</v>
      </c>
      <c r="N513" s="444">
        <f t="shared" si="7"/>
        <v>-5.3191489361702038E-2</v>
      </c>
      <c r="O513" s="444">
        <f t="shared" si="7"/>
        <v>-9.9009900990099098E-3</v>
      </c>
      <c r="P513" s="444">
        <f t="shared" si="7"/>
        <v>0</v>
      </c>
    </row>
    <row r="514" spans="2:16" x14ac:dyDescent="0.2">
      <c r="B514" s="440" t="s">
        <v>1791</v>
      </c>
      <c r="C514" s="440" t="s">
        <v>1804</v>
      </c>
      <c r="D514" s="440" t="s">
        <v>1805</v>
      </c>
      <c r="E514" s="440">
        <v>97</v>
      </c>
      <c r="F514" s="440">
        <v>0.89</v>
      </c>
      <c r="G514" s="443">
        <v>1</v>
      </c>
      <c r="H514" s="443">
        <v>1</v>
      </c>
      <c r="J514" s="440">
        <v>0.94</v>
      </c>
      <c r="K514" s="440">
        <v>1.01</v>
      </c>
      <c r="L514" s="443">
        <v>1</v>
      </c>
      <c r="N514" s="444">
        <f t="shared" si="7"/>
        <v>-5.3191489361702038E-2</v>
      </c>
      <c r="O514" s="444">
        <f t="shared" si="7"/>
        <v>-9.9009900990099098E-3</v>
      </c>
      <c r="P514" s="444">
        <f t="shared" si="7"/>
        <v>0</v>
      </c>
    </row>
    <row r="515" spans="2:16" x14ac:dyDescent="0.2">
      <c r="B515" s="440" t="s">
        <v>1791</v>
      </c>
      <c r="C515" s="440" t="s">
        <v>1804</v>
      </c>
      <c r="D515" s="440" t="s">
        <v>1805</v>
      </c>
      <c r="E515" s="440">
        <v>98</v>
      </c>
      <c r="F515" s="440">
        <v>0.89</v>
      </c>
      <c r="G515" s="443">
        <v>1</v>
      </c>
      <c r="H515" s="443">
        <v>1</v>
      </c>
      <c r="J515" s="440">
        <v>0.94</v>
      </c>
      <c r="K515" s="440">
        <v>1.01</v>
      </c>
      <c r="L515" s="443">
        <v>1</v>
      </c>
      <c r="N515" s="444">
        <f t="shared" si="7"/>
        <v>-5.3191489361702038E-2</v>
      </c>
      <c r="O515" s="444">
        <f t="shared" si="7"/>
        <v>-9.9009900990099098E-3</v>
      </c>
      <c r="P515" s="444">
        <f t="shared" si="7"/>
        <v>0</v>
      </c>
    </row>
    <row r="516" spans="2:16" x14ac:dyDescent="0.2">
      <c r="B516" s="440" t="s">
        <v>1791</v>
      </c>
      <c r="C516" s="440" t="s">
        <v>1804</v>
      </c>
      <c r="D516" s="440" t="s">
        <v>1805</v>
      </c>
      <c r="E516" s="440">
        <v>99</v>
      </c>
      <c r="F516" s="440">
        <v>0.89</v>
      </c>
      <c r="G516" s="443">
        <v>1</v>
      </c>
      <c r="H516" s="443">
        <v>1</v>
      </c>
      <c r="J516" s="440">
        <v>0.94</v>
      </c>
      <c r="K516" s="440">
        <v>1.01</v>
      </c>
      <c r="L516" s="443">
        <v>1</v>
      </c>
      <c r="N516" s="444">
        <f t="shared" si="7"/>
        <v>-5.3191489361702038E-2</v>
      </c>
      <c r="O516" s="444">
        <f t="shared" si="7"/>
        <v>-9.9009900990099098E-3</v>
      </c>
      <c r="P516" s="444">
        <f t="shared" si="7"/>
        <v>0</v>
      </c>
    </row>
    <row r="517" spans="2:16" x14ac:dyDescent="0.2">
      <c r="B517" s="440" t="s">
        <v>1791</v>
      </c>
      <c r="C517" s="440" t="s">
        <v>1804</v>
      </c>
      <c r="D517" s="440" t="s">
        <v>1805</v>
      </c>
      <c r="E517" s="440">
        <v>100</v>
      </c>
      <c r="F517" s="440">
        <v>0.89</v>
      </c>
      <c r="G517" s="443">
        <v>1</v>
      </c>
      <c r="H517" s="443">
        <v>1</v>
      </c>
      <c r="J517" s="440">
        <v>0.94</v>
      </c>
      <c r="K517" s="440">
        <v>1.01</v>
      </c>
      <c r="L517" s="443">
        <v>1</v>
      </c>
      <c r="N517" s="444">
        <f t="shared" si="7"/>
        <v>-5.3191489361702038E-2</v>
      </c>
      <c r="O517" s="444">
        <f t="shared" si="7"/>
        <v>-9.9009900990099098E-3</v>
      </c>
      <c r="P517" s="444">
        <f t="shared" si="7"/>
        <v>0</v>
      </c>
    </row>
    <row r="518" spans="2:16" x14ac:dyDescent="0.2">
      <c r="B518" s="440" t="s">
        <v>1791</v>
      </c>
      <c r="C518" s="440" t="s">
        <v>1804</v>
      </c>
      <c r="D518" s="440" t="s">
        <v>1806</v>
      </c>
      <c r="E518" s="440">
        <v>0</v>
      </c>
      <c r="F518" s="440">
        <v>0.89</v>
      </c>
      <c r="G518" s="443">
        <v>1.01</v>
      </c>
      <c r="H518" s="443">
        <v>2.5</v>
      </c>
      <c r="J518" s="440">
        <v>0.94</v>
      </c>
      <c r="K518" s="440">
        <v>1.01</v>
      </c>
      <c r="L518" s="443">
        <v>2.5</v>
      </c>
      <c r="N518" s="444">
        <f t="shared" si="7"/>
        <v>-5.3191489361702038E-2</v>
      </c>
      <c r="O518" s="444">
        <f t="shared" si="7"/>
        <v>0</v>
      </c>
      <c r="P518" s="444">
        <f t="shared" si="7"/>
        <v>0</v>
      </c>
    </row>
    <row r="519" spans="2:16" x14ac:dyDescent="0.2">
      <c r="B519" s="440" t="s">
        <v>1791</v>
      </c>
      <c r="C519" s="440" t="s">
        <v>1804</v>
      </c>
      <c r="D519" s="440" t="s">
        <v>1806</v>
      </c>
      <c r="E519" s="440">
        <v>1</v>
      </c>
      <c r="F519" s="440">
        <v>0.89</v>
      </c>
      <c r="G519" s="443">
        <v>1.01</v>
      </c>
      <c r="H519" s="443">
        <v>2.4</v>
      </c>
      <c r="J519" s="440">
        <v>0.94</v>
      </c>
      <c r="K519" s="440">
        <v>1.01</v>
      </c>
      <c r="L519" s="443">
        <v>2.5</v>
      </c>
      <c r="N519" s="444">
        <f t="shared" si="7"/>
        <v>-5.3191489361702038E-2</v>
      </c>
      <c r="O519" s="444">
        <f t="shared" si="7"/>
        <v>0</v>
      </c>
      <c r="P519" s="444">
        <f t="shared" si="7"/>
        <v>-4.0000000000000036E-2</v>
      </c>
    </row>
    <row r="520" spans="2:16" x14ac:dyDescent="0.2">
      <c r="B520" s="440" t="s">
        <v>1791</v>
      </c>
      <c r="C520" s="440" t="s">
        <v>1804</v>
      </c>
      <c r="D520" s="440" t="s">
        <v>1806</v>
      </c>
      <c r="E520" s="440">
        <v>2</v>
      </c>
      <c r="F520" s="440">
        <v>0.89</v>
      </c>
      <c r="G520" s="443">
        <v>1.01</v>
      </c>
      <c r="H520" s="443">
        <v>2.2999999999999998</v>
      </c>
      <c r="J520" s="440">
        <v>0.94</v>
      </c>
      <c r="K520" s="440">
        <v>1.01</v>
      </c>
      <c r="L520" s="443">
        <v>2.5</v>
      </c>
      <c r="N520" s="444">
        <f t="shared" si="7"/>
        <v>-5.3191489361702038E-2</v>
      </c>
      <c r="O520" s="444">
        <f t="shared" si="7"/>
        <v>0</v>
      </c>
      <c r="P520" s="444">
        <f t="shared" si="7"/>
        <v>-8.0000000000000071E-2</v>
      </c>
    </row>
    <row r="521" spans="2:16" x14ac:dyDescent="0.2">
      <c r="B521" s="440" t="s">
        <v>1791</v>
      </c>
      <c r="C521" s="440" t="s">
        <v>1804</v>
      </c>
      <c r="D521" s="440" t="s">
        <v>1806</v>
      </c>
      <c r="E521" s="440">
        <v>3</v>
      </c>
      <c r="F521" s="440">
        <v>0.89</v>
      </c>
      <c r="G521" s="443">
        <v>1.01</v>
      </c>
      <c r="H521" s="443">
        <v>2.2000000000000002</v>
      </c>
      <c r="J521" s="440">
        <v>0.94</v>
      </c>
      <c r="K521" s="440">
        <v>1.01</v>
      </c>
      <c r="L521" s="443">
        <v>2.5</v>
      </c>
      <c r="N521" s="444">
        <f t="shared" si="7"/>
        <v>-5.3191489361702038E-2</v>
      </c>
      <c r="O521" s="444">
        <f t="shared" si="7"/>
        <v>0</v>
      </c>
      <c r="P521" s="444">
        <f t="shared" si="7"/>
        <v>-0.11999999999999988</v>
      </c>
    </row>
    <row r="522" spans="2:16" x14ac:dyDescent="0.2">
      <c r="B522" s="440" t="s">
        <v>1791</v>
      </c>
      <c r="C522" s="440" t="s">
        <v>1804</v>
      </c>
      <c r="D522" s="440" t="s">
        <v>1806</v>
      </c>
      <c r="E522" s="440">
        <v>4</v>
      </c>
      <c r="F522" s="440">
        <v>0.89</v>
      </c>
      <c r="G522" s="443">
        <v>1.01</v>
      </c>
      <c r="H522" s="443">
        <v>2.15</v>
      </c>
      <c r="J522" s="440">
        <v>0.94</v>
      </c>
      <c r="K522" s="440">
        <v>1.01</v>
      </c>
      <c r="L522" s="443">
        <v>2.4</v>
      </c>
      <c r="N522" s="444">
        <f t="shared" si="7"/>
        <v>-5.3191489361702038E-2</v>
      </c>
      <c r="O522" s="444">
        <f t="shared" si="7"/>
        <v>0</v>
      </c>
      <c r="P522" s="444">
        <f t="shared" si="7"/>
        <v>-0.10416666666666663</v>
      </c>
    </row>
    <row r="523" spans="2:16" x14ac:dyDescent="0.2">
      <c r="B523" s="440" t="s">
        <v>1791</v>
      </c>
      <c r="C523" s="440" t="s">
        <v>1804</v>
      </c>
      <c r="D523" s="440" t="s">
        <v>1806</v>
      </c>
      <c r="E523" s="440">
        <v>5</v>
      </c>
      <c r="F523" s="440">
        <v>0.89</v>
      </c>
      <c r="G523" s="443">
        <v>1.01</v>
      </c>
      <c r="H523" s="443">
        <v>2.1</v>
      </c>
      <c r="J523" s="440">
        <v>0.94</v>
      </c>
      <c r="K523" s="440">
        <v>1.01</v>
      </c>
      <c r="L523" s="443">
        <v>2.2999999999999998</v>
      </c>
      <c r="N523" s="444">
        <f t="shared" si="7"/>
        <v>-5.3191489361702038E-2</v>
      </c>
      <c r="O523" s="444">
        <f t="shared" si="7"/>
        <v>0</v>
      </c>
      <c r="P523" s="444">
        <f t="shared" si="7"/>
        <v>-8.6956521739130377E-2</v>
      </c>
    </row>
    <row r="524" spans="2:16" x14ac:dyDescent="0.2">
      <c r="B524" s="440" t="s">
        <v>1791</v>
      </c>
      <c r="C524" s="440" t="s">
        <v>1804</v>
      </c>
      <c r="D524" s="440" t="s">
        <v>1806</v>
      </c>
      <c r="E524" s="440">
        <v>6</v>
      </c>
      <c r="F524" s="440">
        <v>0.89</v>
      </c>
      <c r="G524" s="443">
        <v>1.01</v>
      </c>
      <c r="H524" s="443">
        <v>2.0499999999999998</v>
      </c>
      <c r="J524" s="440">
        <v>0.94</v>
      </c>
      <c r="K524" s="440">
        <v>1.01</v>
      </c>
      <c r="L524" s="443">
        <v>2.2000000000000002</v>
      </c>
      <c r="N524" s="444">
        <f t="shared" si="7"/>
        <v>-5.3191489361702038E-2</v>
      </c>
      <c r="O524" s="444">
        <f t="shared" si="7"/>
        <v>0</v>
      </c>
      <c r="P524" s="444">
        <f t="shared" si="7"/>
        <v>-6.8181818181818343E-2</v>
      </c>
    </row>
    <row r="525" spans="2:16" x14ac:dyDescent="0.2">
      <c r="B525" s="440" t="s">
        <v>1791</v>
      </c>
      <c r="C525" s="440" t="s">
        <v>1804</v>
      </c>
      <c r="D525" s="440" t="s">
        <v>1806</v>
      </c>
      <c r="E525" s="440">
        <v>7</v>
      </c>
      <c r="F525" s="440">
        <v>0.89</v>
      </c>
      <c r="G525" s="443">
        <v>1.01</v>
      </c>
      <c r="H525" s="443">
        <v>2</v>
      </c>
      <c r="J525" s="440">
        <v>0.94</v>
      </c>
      <c r="K525" s="440">
        <v>1.01</v>
      </c>
      <c r="L525" s="443">
        <v>2.1</v>
      </c>
      <c r="N525" s="444">
        <f t="shared" ref="N525:P588" si="8">F525/J525-1</f>
        <v>-5.3191489361702038E-2</v>
      </c>
      <c r="O525" s="444">
        <f t="shared" si="8"/>
        <v>0</v>
      </c>
      <c r="P525" s="444">
        <f t="shared" si="8"/>
        <v>-4.7619047619047672E-2</v>
      </c>
    </row>
    <row r="526" spans="2:16" x14ac:dyDescent="0.2">
      <c r="B526" s="440" t="s">
        <v>1791</v>
      </c>
      <c r="C526" s="440" t="s">
        <v>1804</v>
      </c>
      <c r="D526" s="440" t="s">
        <v>1806</v>
      </c>
      <c r="E526" s="440">
        <v>8</v>
      </c>
      <c r="F526" s="440">
        <v>0.89</v>
      </c>
      <c r="G526" s="443">
        <v>1.01</v>
      </c>
      <c r="H526" s="443">
        <v>1.95</v>
      </c>
      <c r="J526" s="440">
        <v>0.94</v>
      </c>
      <c r="K526" s="440">
        <v>1.01</v>
      </c>
      <c r="L526" s="443">
        <v>2.0499999999999998</v>
      </c>
      <c r="N526" s="444">
        <f t="shared" si="8"/>
        <v>-5.3191489361702038E-2</v>
      </c>
      <c r="O526" s="444">
        <f t="shared" si="8"/>
        <v>0</v>
      </c>
      <c r="P526" s="444">
        <f t="shared" si="8"/>
        <v>-4.8780487804877981E-2</v>
      </c>
    </row>
    <row r="527" spans="2:16" x14ac:dyDescent="0.2">
      <c r="B527" s="440" t="s">
        <v>1791</v>
      </c>
      <c r="C527" s="440" t="s">
        <v>1804</v>
      </c>
      <c r="D527" s="440" t="s">
        <v>1806</v>
      </c>
      <c r="E527" s="440">
        <v>9</v>
      </c>
      <c r="F527" s="440">
        <v>0.89</v>
      </c>
      <c r="G527" s="443">
        <v>1.01</v>
      </c>
      <c r="H527" s="443">
        <v>1.9</v>
      </c>
      <c r="J527" s="440">
        <v>0.94</v>
      </c>
      <c r="K527" s="440">
        <v>1.01</v>
      </c>
      <c r="L527" s="443">
        <v>2</v>
      </c>
      <c r="N527" s="444">
        <f t="shared" si="8"/>
        <v>-5.3191489361702038E-2</v>
      </c>
      <c r="O527" s="444">
        <f t="shared" si="8"/>
        <v>0</v>
      </c>
      <c r="P527" s="444">
        <f t="shared" si="8"/>
        <v>-5.0000000000000044E-2</v>
      </c>
    </row>
    <row r="528" spans="2:16" x14ac:dyDescent="0.2">
      <c r="B528" s="440" t="s">
        <v>1791</v>
      </c>
      <c r="C528" s="440" t="s">
        <v>1804</v>
      </c>
      <c r="D528" s="440" t="s">
        <v>1806</v>
      </c>
      <c r="E528" s="440">
        <v>10</v>
      </c>
      <c r="F528" s="440">
        <v>0.89</v>
      </c>
      <c r="G528" s="443">
        <v>1.01</v>
      </c>
      <c r="H528" s="443">
        <v>1.85</v>
      </c>
      <c r="J528" s="440">
        <v>0.94</v>
      </c>
      <c r="K528" s="440">
        <v>1.01</v>
      </c>
      <c r="L528" s="443">
        <v>1.9</v>
      </c>
      <c r="N528" s="444">
        <f t="shared" si="8"/>
        <v>-5.3191489361702038E-2</v>
      </c>
      <c r="O528" s="444">
        <f t="shared" si="8"/>
        <v>0</v>
      </c>
      <c r="P528" s="444">
        <f t="shared" si="8"/>
        <v>-2.631578947368407E-2</v>
      </c>
    </row>
    <row r="529" spans="2:16" x14ac:dyDescent="0.2">
      <c r="B529" s="440" t="s">
        <v>1791</v>
      </c>
      <c r="C529" s="440" t="s">
        <v>1804</v>
      </c>
      <c r="D529" s="440" t="s">
        <v>1806</v>
      </c>
      <c r="E529" s="440">
        <v>11</v>
      </c>
      <c r="F529" s="440">
        <v>0.89</v>
      </c>
      <c r="G529" s="443">
        <v>1.01</v>
      </c>
      <c r="H529" s="443">
        <v>1.8</v>
      </c>
      <c r="J529" s="440">
        <v>0.94</v>
      </c>
      <c r="K529" s="440">
        <v>1.01</v>
      </c>
      <c r="L529" s="443">
        <v>1.85</v>
      </c>
      <c r="N529" s="444">
        <f t="shared" si="8"/>
        <v>-5.3191489361702038E-2</v>
      </c>
      <c r="O529" s="444">
        <f t="shared" si="8"/>
        <v>0</v>
      </c>
      <c r="P529" s="444">
        <f t="shared" si="8"/>
        <v>-2.7027027027027084E-2</v>
      </c>
    </row>
    <row r="530" spans="2:16" x14ac:dyDescent="0.2">
      <c r="B530" s="440" t="s">
        <v>1791</v>
      </c>
      <c r="C530" s="440" t="s">
        <v>1804</v>
      </c>
      <c r="D530" s="440" t="s">
        <v>1806</v>
      </c>
      <c r="E530" s="440">
        <v>12</v>
      </c>
      <c r="F530" s="440">
        <v>0.89</v>
      </c>
      <c r="G530" s="443">
        <v>1.01</v>
      </c>
      <c r="H530" s="443">
        <v>1.76</v>
      </c>
      <c r="J530" s="440">
        <v>0.94</v>
      </c>
      <c r="K530" s="440">
        <v>1.01</v>
      </c>
      <c r="L530" s="443">
        <v>1.8</v>
      </c>
      <c r="N530" s="444">
        <f t="shared" si="8"/>
        <v>-5.3191489361702038E-2</v>
      </c>
      <c r="O530" s="444">
        <f t="shared" si="8"/>
        <v>0</v>
      </c>
      <c r="P530" s="444">
        <f t="shared" si="8"/>
        <v>-2.2222222222222254E-2</v>
      </c>
    </row>
    <row r="531" spans="2:16" x14ac:dyDescent="0.2">
      <c r="B531" s="440" t="s">
        <v>1791</v>
      </c>
      <c r="C531" s="440" t="s">
        <v>1804</v>
      </c>
      <c r="D531" s="440" t="s">
        <v>1806</v>
      </c>
      <c r="E531" s="440">
        <v>13</v>
      </c>
      <c r="F531" s="440">
        <v>0.89</v>
      </c>
      <c r="G531" s="443">
        <v>1.01</v>
      </c>
      <c r="H531" s="443">
        <v>1.72</v>
      </c>
      <c r="J531" s="440">
        <v>0.94</v>
      </c>
      <c r="K531" s="440">
        <v>1.01</v>
      </c>
      <c r="L531" s="443">
        <v>1.76</v>
      </c>
      <c r="N531" s="444">
        <f t="shared" si="8"/>
        <v>-5.3191489361702038E-2</v>
      </c>
      <c r="O531" s="444">
        <f t="shared" si="8"/>
        <v>0</v>
      </c>
      <c r="P531" s="444">
        <f t="shared" si="8"/>
        <v>-2.2727272727272707E-2</v>
      </c>
    </row>
    <row r="532" spans="2:16" x14ac:dyDescent="0.2">
      <c r="B532" s="440" t="s">
        <v>1791</v>
      </c>
      <c r="C532" s="440" t="s">
        <v>1804</v>
      </c>
      <c r="D532" s="440" t="s">
        <v>1806</v>
      </c>
      <c r="E532" s="440">
        <v>14</v>
      </c>
      <c r="F532" s="440">
        <v>0.89</v>
      </c>
      <c r="G532" s="443">
        <v>1.01</v>
      </c>
      <c r="H532" s="443">
        <v>1.68</v>
      </c>
      <c r="J532" s="440">
        <v>0.94</v>
      </c>
      <c r="K532" s="440">
        <v>1.01</v>
      </c>
      <c r="L532" s="443">
        <v>1.72</v>
      </c>
      <c r="N532" s="444">
        <f t="shared" si="8"/>
        <v>-5.3191489361702038E-2</v>
      </c>
      <c r="O532" s="444">
        <f t="shared" si="8"/>
        <v>0</v>
      </c>
      <c r="P532" s="444">
        <f t="shared" si="8"/>
        <v>-2.3255813953488413E-2</v>
      </c>
    </row>
    <row r="533" spans="2:16" x14ac:dyDescent="0.2">
      <c r="B533" s="440" t="s">
        <v>1791</v>
      </c>
      <c r="C533" s="440" t="s">
        <v>1804</v>
      </c>
      <c r="D533" s="440" t="s">
        <v>1806</v>
      </c>
      <c r="E533" s="440">
        <v>15</v>
      </c>
      <c r="F533" s="440">
        <v>0.89</v>
      </c>
      <c r="G533" s="443">
        <v>1.01</v>
      </c>
      <c r="H533" s="443">
        <v>1.64</v>
      </c>
      <c r="J533" s="440">
        <v>0.94</v>
      </c>
      <c r="K533" s="440">
        <v>1.01</v>
      </c>
      <c r="L533" s="443">
        <v>1.68</v>
      </c>
      <c r="N533" s="444">
        <f t="shared" si="8"/>
        <v>-5.3191489361702038E-2</v>
      </c>
      <c r="O533" s="444">
        <f t="shared" si="8"/>
        <v>0</v>
      </c>
      <c r="P533" s="444">
        <f t="shared" si="8"/>
        <v>-2.3809523809523836E-2</v>
      </c>
    </row>
    <row r="534" spans="2:16" x14ac:dyDescent="0.2">
      <c r="B534" s="440" t="s">
        <v>1791</v>
      </c>
      <c r="C534" s="440" t="s">
        <v>1804</v>
      </c>
      <c r="D534" s="440" t="s">
        <v>1806</v>
      </c>
      <c r="E534" s="440">
        <v>16</v>
      </c>
      <c r="F534" s="440">
        <v>0.89</v>
      </c>
      <c r="G534" s="443">
        <v>1.01</v>
      </c>
      <c r="H534" s="443">
        <v>1.61</v>
      </c>
      <c r="J534" s="440">
        <v>0.94</v>
      </c>
      <c r="K534" s="440">
        <v>1.01</v>
      </c>
      <c r="L534" s="443">
        <v>1.64</v>
      </c>
      <c r="N534" s="444">
        <f t="shared" si="8"/>
        <v>-5.3191489361702038E-2</v>
      </c>
      <c r="O534" s="444">
        <f t="shared" si="8"/>
        <v>0</v>
      </c>
      <c r="P534" s="444">
        <f t="shared" si="8"/>
        <v>-1.8292682926829174E-2</v>
      </c>
    </row>
    <row r="535" spans="2:16" x14ac:dyDescent="0.2">
      <c r="B535" s="440" t="s">
        <v>1791</v>
      </c>
      <c r="C535" s="440" t="s">
        <v>1804</v>
      </c>
      <c r="D535" s="440" t="s">
        <v>1806</v>
      </c>
      <c r="E535" s="440">
        <v>17</v>
      </c>
      <c r="F535" s="440">
        <v>0.89</v>
      </c>
      <c r="G535" s="443">
        <v>1.01</v>
      </c>
      <c r="H535" s="443">
        <v>1.58</v>
      </c>
      <c r="J535" s="440">
        <v>0.94</v>
      </c>
      <c r="K535" s="440">
        <v>1.01</v>
      </c>
      <c r="L535" s="443">
        <v>1.61</v>
      </c>
      <c r="N535" s="444">
        <f t="shared" si="8"/>
        <v>-5.3191489361702038E-2</v>
      </c>
      <c r="O535" s="444">
        <f t="shared" si="8"/>
        <v>0</v>
      </c>
      <c r="P535" s="444">
        <f t="shared" si="8"/>
        <v>-1.8633540372670843E-2</v>
      </c>
    </row>
    <row r="536" spans="2:16" x14ac:dyDescent="0.2">
      <c r="B536" s="440" t="s">
        <v>1791</v>
      </c>
      <c r="C536" s="440" t="s">
        <v>1804</v>
      </c>
      <c r="D536" s="440" t="s">
        <v>1806</v>
      </c>
      <c r="E536" s="440">
        <v>18</v>
      </c>
      <c r="F536" s="440">
        <v>0.89</v>
      </c>
      <c r="G536" s="443">
        <v>1.01</v>
      </c>
      <c r="H536" s="443">
        <v>1.55</v>
      </c>
      <c r="J536" s="440">
        <v>0.94</v>
      </c>
      <c r="K536" s="440">
        <v>1.01</v>
      </c>
      <c r="L536" s="443">
        <v>1.58</v>
      </c>
      <c r="N536" s="444">
        <f t="shared" si="8"/>
        <v>-5.3191489361702038E-2</v>
      </c>
      <c r="O536" s="444">
        <f t="shared" si="8"/>
        <v>0</v>
      </c>
      <c r="P536" s="444">
        <f t="shared" si="8"/>
        <v>-1.8987341772151889E-2</v>
      </c>
    </row>
    <row r="537" spans="2:16" x14ac:dyDescent="0.2">
      <c r="B537" s="440" t="s">
        <v>1791</v>
      </c>
      <c r="C537" s="440" t="s">
        <v>1804</v>
      </c>
      <c r="D537" s="440" t="s">
        <v>1806</v>
      </c>
      <c r="E537" s="440">
        <v>19</v>
      </c>
      <c r="F537" s="440">
        <v>0.89</v>
      </c>
      <c r="G537" s="443">
        <v>1.01</v>
      </c>
      <c r="H537" s="443">
        <v>1.52</v>
      </c>
      <c r="J537" s="440">
        <v>0.94</v>
      </c>
      <c r="K537" s="440">
        <v>1.01</v>
      </c>
      <c r="L537" s="443">
        <v>1.55</v>
      </c>
      <c r="N537" s="444">
        <f t="shared" si="8"/>
        <v>-5.3191489361702038E-2</v>
      </c>
      <c r="O537" s="444">
        <f t="shared" si="8"/>
        <v>0</v>
      </c>
      <c r="P537" s="444">
        <f t="shared" si="8"/>
        <v>-1.9354838709677469E-2</v>
      </c>
    </row>
    <row r="538" spans="2:16" x14ac:dyDescent="0.2">
      <c r="B538" s="440" t="s">
        <v>1791</v>
      </c>
      <c r="C538" s="440" t="s">
        <v>1804</v>
      </c>
      <c r="D538" s="440" t="s">
        <v>1806</v>
      </c>
      <c r="E538" s="440">
        <v>20</v>
      </c>
      <c r="F538" s="440">
        <v>0.89</v>
      </c>
      <c r="G538" s="443">
        <v>1.01</v>
      </c>
      <c r="H538" s="443">
        <v>1.49</v>
      </c>
      <c r="J538" s="440">
        <v>0.94</v>
      </c>
      <c r="K538" s="440">
        <v>1.01</v>
      </c>
      <c r="L538" s="443">
        <v>1.52</v>
      </c>
      <c r="N538" s="444">
        <f t="shared" si="8"/>
        <v>-5.3191489361702038E-2</v>
      </c>
      <c r="O538" s="444">
        <f t="shared" si="8"/>
        <v>0</v>
      </c>
      <c r="P538" s="444">
        <f t="shared" si="8"/>
        <v>-1.9736842105263164E-2</v>
      </c>
    </row>
    <row r="539" spans="2:16" x14ac:dyDescent="0.2">
      <c r="B539" s="440" t="s">
        <v>1791</v>
      </c>
      <c r="C539" s="440" t="s">
        <v>1804</v>
      </c>
      <c r="D539" s="440" t="s">
        <v>1806</v>
      </c>
      <c r="E539" s="440">
        <v>21</v>
      </c>
      <c r="F539" s="440">
        <v>0.89</v>
      </c>
      <c r="G539" s="443">
        <v>1.01</v>
      </c>
      <c r="H539" s="443">
        <v>1.46</v>
      </c>
      <c r="J539" s="440">
        <v>0.94</v>
      </c>
      <c r="K539" s="440">
        <v>1.01</v>
      </c>
      <c r="L539" s="443">
        <v>1.49</v>
      </c>
      <c r="N539" s="444">
        <f t="shared" si="8"/>
        <v>-5.3191489361702038E-2</v>
      </c>
      <c r="O539" s="444">
        <f t="shared" si="8"/>
        <v>0</v>
      </c>
      <c r="P539" s="444">
        <f t="shared" si="8"/>
        <v>-2.0134228187919434E-2</v>
      </c>
    </row>
    <row r="540" spans="2:16" x14ac:dyDescent="0.2">
      <c r="B540" s="440" t="s">
        <v>1791</v>
      </c>
      <c r="C540" s="440" t="s">
        <v>1804</v>
      </c>
      <c r="D540" s="440" t="s">
        <v>1806</v>
      </c>
      <c r="E540" s="440">
        <v>22</v>
      </c>
      <c r="F540" s="440">
        <v>0.89</v>
      </c>
      <c r="G540" s="443">
        <v>1.01</v>
      </c>
      <c r="H540" s="443">
        <v>1.43</v>
      </c>
      <c r="J540" s="440">
        <v>0.94</v>
      </c>
      <c r="K540" s="440">
        <v>1.01</v>
      </c>
      <c r="L540" s="443">
        <v>1.46</v>
      </c>
      <c r="N540" s="444">
        <f t="shared" si="8"/>
        <v>-5.3191489361702038E-2</v>
      </c>
      <c r="O540" s="444">
        <f t="shared" si="8"/>
        <v>0</v>
      </c>
      <c r="P540" s="444">
        <f t="shared" si="8"/>
        <v>-2.0547945205479423E-2</v>
      </c>
    </row>
    <row r="541" spans="2:16" x14ac:dyDescent="0.2">
      <c r="B541" s="440" t="s">
        <v>1791</v>
      </c>
      <c r="C541" s="440" t="s">
        <v>1804</v>
      </c>
      <c r="D541" s="440" t="s">
        <v>1806</v>
      </c>
      <c r="E541" s="440">
        <v>23</v>
      </c>
      <c r="F541" s="440">
        <v>0.89</v>
      </c>
      <c r="G541" s="443">
        <v>1.01</v>
      </c>
      <c r="H541" s="443">
        <v>1.4</v>
      </c>
      <c r="J541" s="440">
        <v>0.94</v>
      </c>
      <c r="K541" s="440">
        <v>1.01</v>
      </c>
      <c r="L541" s="443">
        <v>1.43</v>
      </c>
      <c r="N541" s="444">
        <f t="shared" si="8"/>
        <v>-5.3191489361702038E-2</v>
      </c>
      <c r="O541" s="444">
        <f t="shared" si="8"/>
        <v>0</v>
      </c>
      <c r="P541" s="444">
        <f t="shared" si="8"/>
        <v>-2.0979020979021046E-2</v>
      </c>
    </row>
    <row r="542" spans="2:16" x14ac:dyDescent="0.2">
      <c r="B542" s="440" t="s">
        <v>1791</v>
      </c>
      <c r="C542" s="440" t="s">
        <v>1804</v>
      </c>
      <c r="D542" s="440" t="s">
        <v>1806</v>
      </c>
      <c r="E542" s="440">
        <v>24</v>
      </c>
      <c r="F542" s="440">
        <v>0.89</v>
      </c>
      <c r="G542" s="443">
        <v>1.01</v>
      </c>
      <c r="H542" s="443">
        <v>1.38</v>
      </c>
      <c r="J542" s="440">
        <v>0.94</v>
      </c>
      <c r="K542" s="440">
        <v>1.01</v>
      </c>
      <c r="L542" s="443">
        <v>1.4</v>
      </c>
      <c r="N542" s="444">
        <f t="shared" si="8"/>
        <v>-5.3191489361702038E-2</v>
      </c>
      <c r="O542" s="444">
        <f t="shared" si="8"/>
        <v>0</v>
      </c>
      <c r="P542" s="444">
        <f t="shared" si="8"/>
        <v>-1.4285714285714346E-2</v>
      </c>
    </row>
    <row r="543" spans="2:16" x14ac:dyDescent="0.2">
      <c r="B543" s="440" t="s">
        <v>1791</v>
      </c>
      <c r="C543" s="440" t="s">
        <v>1804</v>
      </c>
      <c r="D543" s="440" t="s">
        <v>1806</v>
      </c>
      <c r="E543" s="440">
        <v>25</v>
      </c>
      <c r="F543" s="440">
        <v>0.89</v>
      </c>
      <c r="G543" s="443">
        <v>1.01</v>
      </c>
      <c r="H543" s="443">
        <v>1.36</v>
      </c>
      <c r="J543" s="440">
        <v>0.94</v>
      </c>
      <c r="K543" s="440">
        <v>1.01</v>
      </c>
      <c r="L543" s="443">
        <v>1.38</v>
      </c>
      <c r="N543" s="444">
        <f t="shared" si="8"/>
        <v>-5.3191489361702038E-2</v>
      </c>
      <c r="O543" s="444">
        <f t="shared" si="8"/>
        <v>0</v>
      </c>
      <c r="P543" s="444">
        <f t="shared" si="8"/>
        <v>-1.4492753623188248E-2</v>
      </c>
    </row>
    <row r="544" spans="2:16" x14ac:dyDescent="0.2">
      <c r="B544" s="440" t="s">
        <v>1791</v>
      </c>
      <c r="C544" s="440" t="s">
        <v>1804</v>
      </c>
      <c r="D544" s="440" t="s">
        <v>1806</v>
      </c>
      <c r="E544" s="440">
        <v>26</v>
      </c>
      <c r="F544" s="440">
        <v>0.89</v>
      </c>
      <c r="G544" s="443">
        <v>1.01</v>
      </c>
      <c r="H544" s="443">
        <v>1.34</v>
      </c>
      <c r="J544" s="440">
        <v>0.94</v>
      </c>
      <c r="K544" s="440">
        <v>1.01</v>
      </c>
      <c r="L544" s="443">
        <v>1.36</v>
      </c>
      <c r="N544" s="444">
        <f t="shared" si="8"/>
        <v>-5.3191489361702038E-2</v>
      </c>
      <c r="O544" s="444">
        <f t="shared" si="8"/>
        <v>0</v>
      </c>
      <c r="P544" s="444">
        <f t="shared" si="8"/>
        <v>-1.4705882352941235E-2</v>
      </c>
    </row>
    <row r="545" spans="2:16" x14ac:dyDescent="0.2">
      <c r="B545" s="440" t="s">
        <v>1791</v>
      </c>
      <c r="C545" s="440" t="s">
        <v>1804</v>
      </c>
      <c r="D545" s="440" t="s">
        <v>1806</v>
      </c>
      <c r="E545" s="440">
        <v>27</v>
      </c>
      <c r="F545" s="440">
        <v>0.89</v>
      </c>
      <c r="G545" s="443">
        <v>1.01</v>
      </c>
      <c r="H545" s="443">
        <v>1.32</v>
      </c>
      <c r="J545" s="440">
        <v>0.94</v>
      </c>
      <c r="K545" s="440">
        <v>1.01</v>
      </c>
      <c r="L545" s="443">
        <v>1.34</v>
      </c>
      <c r="N545" s="444">
        <f t="shared" si="8"/>
        <v>-5.3191489361702038E-2</v>
      </c>
      <c r="O545" s="444">
        <f t="shared" si="8"/>
        <v>0</v>
      </c>
      <c r="P545" s="444">
        <f t="shared" si="8"/>
        <v>-1.4925373134328401E-2</v>
      </c>
    </row>
    <row r="546" spans="2:16" x14ac:dyDescent="0.2">
      <c r="B546" s="440" t="s">
        <v>1791</v>
      </c>
      <c r="C546" s="440" t="s">
        <v>1804</v>
      </c>
      <c r="D546" s="440" t="s">
        <v>1806</v>
      </c>
      <c r="E546" s="440">
        <v>28</v>
      </c>
      <c r="F546" s="440">
        <v>0.89</v>
      </c>
      <c r="G546" s="443">
        <v>1.01</v>
      </c>
      <c r="H546" s="443">
        <v>1.3</v>
      </c>
      <c r="J546" s="440">
        <v>0.94</v>
      </c>
      <c r="K546" s="440">
        <v>1.01</v>
      </c>
      <c r="L546" s="443">
        <v>1.32</v>
      </c>
      <c r="N546" s="444">
        <f t="shared" si="8"/>
        <v>-5.3191489361702038E-2</v>
      </c>
      <c r="O546" s="444">
        <f t="shared" si="8"/>
        <v>0</v>
      </c>
      <c r="P546" s="444">
        <f t="shared" si="8"/>
        <v>-1.5151515151515138E-2</v>
      </c>
    </row>
    <row r="547" spans="2:16" x14ac:dyDescent="0.2">
      <c r="B547" s="440" t="s">
        <v>1791</v>
      </c>
      <c r="C547" s="440" t="s">
        <v>1804</v>
      </c>
      <c r="D547" s="440" t="s">
        <v>1806</v>
      </c>
      <c r="E547" s="440">
        <v>29</v>
      </c>
      <c r="F547" s="440">
        <v>0.89</v>
      </c>
      <c r="G547" s="443">
        <v>1.01</v>
      </c>
      <c r="H547" s="443">
        <v>1.28</v>
      </c>
      <c r="J547" s="440">
        <v>0.94</v>
      </c>
      <c r="K547" s="440">
        <v>1.01</v>
      </c>
      <c r="L547" s="443">
        <v>1.3</v>
      </c>
      <c r="N547" s="444">
        <f t="shared" si="8"/>
        <v>-5.3191489361702038E-2</v>
      </c>
      <c r="O547" s="444">
        <f t="shared" si="8"/>
        <v>0</v>
      </c>
      <c r="P547" s="444">
        <f t="shared" si="8"/>
        <v>-1.5384615384615441E-2</v>
      </c>
    </row>
    <row r="548" spans="2:16" x14ac:dyDescent="0.2">
      <c r="B548" s="440" t="s">
        <v>1791</v>
      </c>
      <c r="C548" s="440" t="s">
        <v>1804</v>
      </c>
      <c r="D548" s="440" t="s">
        <v>1806</v>
      </c>
      <c r="E548" s="440">
        <v>30</v>
      </c>
      <c r="F548" s="440">
        <v>0.89</v>
      </c>
      <c r="G548" s="443">
        <v>1.01</v>
      </c>
      <c r="H548" s="443">
        <v>1.27</v>
      </c>
      <c r="J548" s="440">
        <v>0.94</v>
      </c>
      <c r="K548" s="440">
        <v>1.01</v>
      </c>
      <c r="L548" s="443">
        <v>1.28</v>
      </c>
      <c r="N548" s="444">
        <f t="shared" si="8"/>
        <v>-5.3191489361702038E-2</v>
      </c>
      <c r="O548" s="444">
        <f t="shared" si="8"/>
        <v>0</v>
      </c>
      <c r="P548" s="444">
        <f t="shared" si="8"/>
        <v>-7.8125E-3</v>
      </c>
    </row>
    <row r="549" spans="2:16" x14ac:dyDescent="0.2">
      <c r="B549" s="440" t="s">
        <v>1791</v>
      </c>
      <c r="C549" s="440" t="s">
        <v>1804</v>
      </c>
      <c r="D549" s="440" t="s">
        <v>1806</v>
      </c>
      <c r="E549" s="440">
        <v>31</v>
      </c>
      <c r="F549" s="440">
        <v>0.89</v>
      </c>
      <c r="G549" s="443">
        <v>1.01</v>
      </c>
      <c r="H549" s="443">
        <v>1.26</v>
      </c>
      <c r="J549" s="440">
        <v>0.94</v>
      </c>
      <c r="K549" s="440">
        <v>1.01</v>
      </c>
      <c r="L549" s="443">
        <v>1.27</v>
      </c>
      <c r="N549" s="444">
        <f t="shared" si="8"/>
        <v>-5.3191489361702038E-2</v>
      </c>
      <c r="O549" s="444">
        <f t="shared" si="8"/>
        <v>0</v>
      </c>
      <c r="P549" s="444">
        <f t="shared" si="8"/>
        <v>-7.8740157480314821E-3</v>
      </c>
    </row>
    <row r="550" spans="2:16" x14ac:dyDescent="0.2">
      <c r="B550" s="440" t="s">
        <v>1791</v>
      </c>
      <c r="C550" s="440" t="s">
        <v>1804</v>
      </c>
      <c r="D550" s="440" t="s">
        <v>1806</v>
      </c>
      <c r="E550" s="440">
        <v>32</v>
      </c>
      <c r="F550" s="440">
        <v>0.89</v>
      </c>
      <c r="G550" s="443">
        <v>1.01</v>
      </c>
      <c r="H550" s="443">
        <v>1.25</v>
      </c>
      <c r="J550" s="440">
        <v>0.94</v>
      </c>
      <c r="K550" s="440">
        <v>1.01</v>
      </c>
      <c r="L550" s="443">
        <v>1.26</v>
      </c>
      <c r="N550" s="444">
        <f t="shared" si="8"/>
        <v>-5.3191489361702038E-2</v>
      </c>
      <c r="O550" s="444">
        <f t="shared" si="8"/>
        <v>0</v>
      </c>
      <c r="P550" s="444">
        <f t="shared" si="8"/>
        <v>-7.9365079365079083E-3</v>
      </c>
    </row>
    <row r="551" spans="2:16" x14ac:dyDescent="0.2">
      <c r="B551" s="440" t="s">
        <v>1791</v>
      </c>
      <c r="C551" s="440" t="s">
        <v>1804</v>
      </c>
      <c r="D551" s="440" t="s">
        <v>1806</v>
      </c>
      <c r="E551" s="440">
        <v>33</v>
      </c>
      <c r="F551" s="440">
        <v>0.89</v>
      </c>
      <c r="G551" s="443">
        <v>1.01</v>
      </c>
      <c r="H551" s="443">
        <v>1.24</v>
      </c>
      <c r="J551" s="440">
        <v>0.94</v>
      </c>
      <c r="K551" s="440">
        <v>1.01</v>
      </c>
      <c r="L551" s="443">
        <v>1.25</v>
      </c>
      <c r="N551" s="444">
        <f t="shared" si="8"/>
        <v>-5.3191489361702038E-2</v>
      </c>
      <c r="O551" s="444">
        <f t="shared" si="8"/>
        <v>0</v>
      </c>
      <c r="P551" s="444">
        <f t="shared" si="8"/>
        <v>-8.0000000000000071E-3</v>
      </c>
    </row>
    <row r="552" spans="2:16" x14ac:dyDescent="0.2">
      <c r="B552" s="440" t="s">
        <v>1791</v>
      </c>
      <c r="C552" s="440" t="s">
        <v>1804</v>
      </c>
      <c r="D552" s="440" t="s">
        <v>1806</v>
      </c>
      <c r="E552" s="440">
        <v>34</v>
      </c>
      <c r="F552" s="440">
        <v>0.89</v>
      </c>
      <c r="G552" s="443">
        <v>1.01</v>
      </c>
      <c r="H552" s="443">
        <v>1.23</v>
      </c>
      <c r="J552" s="440">
        <v>0.94</v>
      </c>
      <c r="K552" s="440">
        <v>1.01</v>
      </c>
      <c r="L552" s="443">
        <v>1.24</v>
      </c>
      <c r="N552" s="444">
        <f t="shared" si="8"/>
        <v>-5.3191489361702038E-2</v>
      </c>
      <c r="O552" s="444">
        <f t="shared" si="8"/>
        <v>0</v>
      </c>
      <c r="P552" s="444">
        <f t="shared" si="8"/>
        <v>-8.0645161290322509E-3</v>
      </c>
    </row>
    <row r="553" spans="2:16" x14ac:dyDescent="0.2">
      <c r="B553" s="440" t="s">
        <v>1791</v>
      </c>
      <c r="C553" s="440" t="s">
        <v>1804</v>
      </c>
      <c r="D553" s="440" t="s">
        <v>1806</v>
      </c>
      <c r="E553" s="440">
        <v>35</v>
      </c>
      <c r="F553" s="440">
        <v>0.89</v>
      </c>
      <c r="G553" s="443">
        <v>1.01</v>
      </c>
      <c r="H553" s="443">
        <v>1.22</v>
      </c>
      <c r="J553" s="440">
        <v>0.94</v>
      </c>
      <c r="K553" s="440">
        <v>1.01</v>
      </c>
      <c r="L553" s="443">
        <v>1.23</v>
      </c>
      <c r="N553" s="444">
        <f t="shared" si="8"/>
        <v>-5.3191489361702038E-2</v>
      </c>
      <c r="O553" s="444">
        <f t="shared" si="8"/>
        <v>0</v>
      </c>
      <c r="P553" s="444">
        <f t="shared" si="8"/>
        <v>-8.1300813008130524E-3</v>
      </c>
    </row>
    <row r="554" spans="2:16" x14ac:dyDescent="0.2">
      <c r="B554" s="440" t="s">
        <v>1791</v>
      </c>
      <c r="C554" s="440" t="s">
        <v>1804</v>
      </c>
      <c r="D554" s="440" t="s">
        <v>1806</v>
      </c>
      <c r="E554" s="440">
        <v>36</v>
      </c>
      <c r="F554" s="440">
        <v>0.89</v>
      </c>
      <c r="G554" s="443">
        <v>1.01</v>
      </c>
      <c r="H554" s="443">
        <v>1.21</v>
      </c>
      <c r="J554" s="440">
        <v>0.94</v>
      </c>
      <c r="K554" s="440">
        <v>1.01</v>
      </c>
      <c r="L554" s="443">
        <v>1.22</v>
      </c>
      <c r="N554" s="444">
        <f t="shared" si="8"/>
        <v>-5.3191489361702038E-2</v>
      </c>
      <c r="O554" s="444">
        <f t="shared" si="8"/>
        <v>0</v>
      </c>
      <c r="P554" s="444">
        <f t="shared" si="8"/>
        <v>-8.1967213114754189E-3</v>
      </c>
    </row>
    <row r="555" spans="2:16" x14ac:dyDescent="0.2">
      <c r="B555" s="440" t="s">
        <v>1791</v>
      </c>
      <c r="C555" s="440" t="s">
        <v>1804</v>
      </c>
      <c r="D555" s="440" t="s">
        <v>1806</v>
      </c>
      <c r="E555" s="440">
        <v>37</v>
      </c>
      <c r="F555" s="440">
        <v>0.89</v>
      </c>
      <c r="G555" s="443">
        <v>1.01</v>
      </c>
      <c r="H555" s="443">
        <v>1.2</v>
      </c>
      <c r="J555" s="440">
        <v>0.94</v>
      </c>
      <c r="K555" s="440">
        <v>1.01</v>
      </c>
      <c r="L555" s="443">
        <v>1.21</v>
      </c>
      <c r="N555" s="444">
        <f t="shared" si="8"/>
        <v>-5.3191489361702038E-2</v>
      </c>
      <c r="O555" s="444">
        <f t="shared" si="8"/>
        <v>0</v>
      </c>
      <c r="P555" s="444">
        <f t="shared" si="8"/>
        <v>-8.2644628099173278E-3</v>
      </c>
    </row>
    <row r="556" spans="2:16" x14ac:dyDescent="0.2">
      <c r="B556" s="440" t="s">
        <v>1791</v>
      </c>
      <c r="C556" s="440" t="s">
        <v>1804</v>
      </c>
      <c r="D556" s="440" t="s">
        <v>1806</v>
      </c>
      <c r="E556" s="440">
        <v>38</v>
      </c>
      <c r="F556" s="440">
        <v>0.89</v>
      </c>
      <c r="G556" s="443">
        <v>1.01</v>
      </c>
      <c r="H556" s="443">
        <v>1.19</v>
      </c>
      <c r="J556" s="440">
        <v>0.94</v>
      </c>
      <c r="K556" s="440">
        <v>1.01</v>
      </c>
      <c r="L556" s="443">
        <v>1.2</v>
      </c>
      <c r="N556" s="444">
        <f t="shared" si="8"/>
        <v>-5.3191489361702038E-2</v>
      </c>
      <c r="O556" s="444">
        <f t="shared" si="8"/>
        <v>0</v>
      </c>
      <c r="P556" s="444">
        <f t="shared" si="8"/>
        <v>-8.3333333333333037E-3</v>
      </c>
    </row>
    <row r="557" spans="2:16" x14ac:dyDescent="0.2">
      <c r="B557" s="440" t="s">
        <v>1791</v>
      </c>
      <c r="C557" s="440" t="s">
        <v>1804</v>
      </c>
      <c r="D557" s="440" t="s">
        <v>1806</v>
      </c>
      <c r="E557" s="440">
        <v>39</v>
      </c>
      <c r="F557" s="440">
        <v>0.89</v>
      </c>
      <c r="G557" s="443">
        <v>1.01</v>
      </c>
      <c r="H557" s="443">
        <v>1.18</v>
      </c>
      <c r="J557" s="440">
        <v>0.94</v>
      </c>
      <c r="K557" s="440">
        <v>1.01</v>
      </c>
      <c r="L557" s="443">
        <v>1.19</v>
      </c>
      <c r="N557" s="444">
        <f t="shared" si="8"/>
        <v>-5.3191489361702038E-2</v>
      </c>
      <c r="O557" s="444">
        <f t="shared" si="8"/>
        <v>0</v>
      </c>
      <c r="P557" s="444">
        <f t="shared" si="8"/>
        <v>-8.4033613445377853E-3</v>
      </c>
    </row>
    <row r="558" spans="2:16" x14ac:dyDescent="0.2">
      <c r="B558" s="440" t="s">
        <v>1791</v>
      </c>
      <c r="C558" s="440" t="s">
        <v>1804</v>
      </c>
      <c r="D558" s="440" t="s">
        <v>1806</v>
      </c>
      <c r="E558" s="440">
        <v>40</v>
      </c>
      <c r="F558" s="440">
        <v>0.89</v>
      </c>
      <c r="G558" s="443">
        <v>1.01</v>
      </c>
      <c r="H558" s="443">
        <v>1.17</v>
      </c>
      <c r="J558" s="440">
        <v>0.94</v>
      </c>
      <c r="K558" s="440">
        <v>1.01</v>
      </c>
      <c r="L558" s="443">
        <v>1.18</v>
      </c>
      <c r="N558" s="444">
        <f t="shared" si="8"/>
        <v>-5.3191489361702038E-2</v>
      </c>
      <c r="O558" s="444">
        <f t="shared" si="8"/>
        <v>0</v>
      </c>
      <c r="P558" s="444">
        <f t="shared" si="8"/>
        <v>-8.4745762711864181E-3</v>
      </c>
    </row>
    <row r="559" spans="2:16" x14ac:dyDescent="0.2">
      <c r="B559" s="440" t="s">
        <v>1791</v>
      </c>
      <c r="C559" s="440" t="s">
        <v>1804</v>
      </c>
      <c r="D559" s="440" t="s">
        <v>1806</v>
      </c>
      <c r="E559" s="440">
        <v>41</v>
      </c>
      <c r="F559" s="440">
        <v>0.89</v>
      </c>
      <c r="G559" s="443">
        <v>1.01</v>
      </c>
      <c r="H559" s="443">
        <v>1.1599999999999999</v>
      </c>
      <c r="J559" s="440">
        <v>0.94</v>
      </c>
      <c r="K559" s="440">
        <v>1.01</v>
      </c>
      <c r="L559" s="443">
        <v>1.17</v>
      </c>
      <c r="N559" s="444">
        <f t="shared" si="8"/>
        <v>-5.3191489361702038E-2</v>
      </c>
      <c r="O559" s="444">
        <f t="shared" si="8"/>
        <v>0</v>
      </c>
      <c r="P559" s="444">
        <f t="shared" si="8"/>
        <v>-8.5470085470085166E-3</v>
      </c>
    </row>
    <row r="560" spans="2:16" x14ac:dyDescent="0.2">
      <c r="B560" s="440" t="s">
        <v>1791</v>
      </c>
      <c r="C560" s="440" t="s">
        <v>1804</v>
      </c>
      <c r="D560" s="440" t="s">
        <v>1806</v>
      </c>
      <c r="E560" s="440">
        <v>42</v>
      </c>
      <c r="F560" s="440">
        <v>0.89</v>
      </c>
      <c r="G560" s="443">
        <v>1.01</v>
      </c>
      <c r="H560" s="443">
        <v>1.1499999999999999</v>
      </c>
      <c r="J560" s="440">
        <v>0.94</v>
      </c>
      <c r="K560" s="440">
        <v>1.01</v>
      </c>
      <c r="L560" s="443">
        <v>1.1599999999999999</v>
      </c>
      <c r="N560" s="444">
        <f t="shared" si="8"/>
        <v>-5.3191489361702038E-2</v>
      </c>
      <c r="O560" s="444">
        <f t="shared" si="8"/>
        <v>0</v>
      </c>
      <c r="P560" s="444">
        <f t="shared" si="8"/>
        <v>-8.6206896551723755E-3</v>
      </c>
    </row>
    <row r="561" spans="2:16" x14ac:dyDescent="0.2">
      <c r="B561" s="440" t="s">
        <v>1791</v>
      </c>
      <c r="C561" s="440" t="s">
        <v>1804</v>
      </c>
      <c r="D561" s="440" t="s">
        <v>1806</v>
      </c>
      <c r="E561" s="440">
        <v>43</v>
      </c>
      <c r="F561" s="440">
        <v>0.89</v>
      </c>
      <c r="G561" s="443">
        <v>1.01</v>
      </c>
      <c r="H561" s="443">
        <v>1.1399999999999999</v>
      </c>
      <c r="J561" s="440">
        <v>0.94</v>
      </c>
      <c r="K561" s="440">
        <v>1.01</v>
      </c>
      <c r="L561" s="443">
        <v>1.1499999999999999</v>
      </c>
      <c r="N561" s="444">
        <f t="shared" si="8"/>
        <v>-5.3191489361702038E-2</v>
      </c>
      <c r="O561" s="444">
        <f t="shared" si="8"/>
        <v>0</v>
      </c>
      <c r="P561" s="444">
        <f t="shared" si="8"/>
        <v>-8.6956521739131043E-3</v>
      </c>
    </row>
    <row r="562" spans="2:16" x14ac:dyDescent="0.2">
      <c r="B562" s="440" t="s">
        <v>1791</v>
      </c>
      <c r="C562" s="440" t="s">
        <v>1804</v>
      </c>
      <c r="D562" s="440" t="s">
        <v>1806</v>
      </c>
      <c r="E562" s="440">
        <v>44</v>
      </c>
      <c r="F562" s="440">
        <v>0.89</v>
      </c>
      <c r="G562" s="443">
        <v>1.01</v>
      </c>
      <c r="H562" s="443">
        <v>1.1299999999999999</v>
      </c>
      <c r="J562" s="440">
        <v>0.94</v>
      </c>
      <c r="K562" s="440">
        <v>1.01</v>
      </c>
      <c r="L562" s="443">
        <v>1.1399999999999999</v>
      </c>
      <c r="N562" s="444">
        <f t="shared" si="8"/>
        <v>-5.3191489361702038E-2</v>
      </c>
      <c r="O562" s="444">
        <f t="shared" si="8"/>
        <v>0</v>
      </c>
      <c r="P562" s="444">
        <f t="shared" si="8"/>
        <v>-8.7719298245614308E-3</v>
      </c>
    </row>
    <row r="563" spans="2:16" x14ac:dyDescent="0.2">
      <c r="B563" s="440" t="s">
        <v>1791</v>
      </c>
      <c r="C563" s="440" t="s">
        <v>1804</v>
      </c>
      <c r="D563" s="440" t="s">
        <v>1806</v>
      </c>
      <c r="E563" s="440">
        <v>45</v>
      </c>
      <c r="F563" s="440">
        <v>0.89</v>
      </c>
      <c r="G563" s="443">
        <v>1.01</v>
      </c>
      <c r="H563" s="443">
        <v>1.1200000000000001</v>
      </c>
      <c r="J563" s="440">
        <v>0.94</v>
      </c>
      <c r="K563" s="440">
        <v>1.01</v>
      </c>
      <c r="L563" s="443">
        <v>1.1299999999999999</v>
      </c>
      <c r="N563" s="444">
        <f t="shared" si="8"/>
        <v>-5.3191489361702038E-2</v>
      </c>
      <c r="O563" s="444">
        <f t="shared" si="8"/>
        <v>0</v>
      </c>
      <c r="P563" s="444">
        <f t="shared" si="8"/>
        <v>-8.8495575221236855E-3</v>
      </c>
    </row>
    <row r="564" spans="2:16" x14ac:dyDescent="0.2">
      <c r="B564" s="440" t="s">
        <v>1791</v>
      </c>
      <c r="C564" s="440" t="s">
        <v>1804</v>
      </c>
      <c r="D564" s="440" t="s">
        <v>1806</v>
      </c>
      <c r="E564" s="440">
        <v>46</v>
      </c>
      <c r="F564" s="440">
        <v>0.89</v>
      </c>
      <c r="G564" s="443">
        <v>1.01</v>
      </c>
      <c r="H564" s="443">
        <v>1.1100000000000001</v>
      </c>
      <c r="J564" s="440">
        <v>0.94</v>
      </c>
      <c r="K564" s="440">
        <v>1.01</v>
      </c>
      <c r="L564" s="443">
        <v>1.1200000000000001</v>
      </c>
      <c r="N564" s="444">
        <f t="shared" si="8"/>
        <v>-5.3191489361702038E-2</v>
      </c>
      <c r="O564" s="444">
        <f t="shared" si="8"/>
        <v>0</v>
      </c>
      <c r="P564" s="444">
        <f t="shared" si="8"/>
        <v>-8.9285714285713969E-3</v>
      </c>
    </row>
    <row r="565" spans="2:16" x14ac:dyDescent="0.2">
      <c r="B565" s="440" t="s">
        <v>1791</v>
      </c>
      <c r="C565" s="440" t="s">
        <v>1804</v>
      </c>
      <c r="D565" s="440" t="s">
        <v>1806</v>
      </c>
      <c r="E565" s="440">
        <v>47</v>
      </c>
      <c r="F565" s="440">
        <v>0.89</v>
      </c>
      <c r="G565" s="443">
        <v>1.01</v>
      </c>
      <c r="H565" s="443">
        <v>1.1000000000000001</v>
      </c>
      <c r="J565" s="440">
        <v>0.94</v>
      </c>
      <c r="K565" s="440">
        <v>1.01</v>
      </c>
      <c r="L565" s="443">
        <v>1.1100000000000001</v>
      </c>
      <c r="N565" s="444">
        <f t="shared" si="8"/>
        <v>-5.3191489361702038E-2</v>
      </c>
      <c r="O565" s="444">
        <f t="shared" si="8"/>
        <v>0</v>
      </c>
      <c r="P565" s="444">
        <f t="shared" si="8"/>
        <v>-9.009009009009028E-3</v>
      </c>
    </row>
    <row r="566" spans="2:16" x14ac:dyDescent="0.2">
      <c r="B566" s="440" t="s">
        <v>1791</v>
      </c>
      <c r="C566" s="440" t="s">
        <v>1804</v>
      </c>
      <c r="D566" s="440" t="s">
        <v>1806</v>
      </c>
      <c r="E566" s="440">
        <v>48</v>
      </c>
      <c r="F566" s="440">
        <v>0.89</v>
      </c>
      <c r="G566" s="443">
        <v>1.01</v>
      </c>
      <c r="H566" s="443">
        <v>1.0900000000000001</v>
      </c>
      <c r="J566" s="440">
        <v>0.94</v>
      </c>
      <c r="K566" s="440">
        <v>1.01</v>
      </c>
      <c r="L566" s="443">
        <v>1.1000000000000001</v>
      </c>
      <c r="N566" s="444">
        <f t="shared" si="8"/>
        <v>-5.3191489361702038E-2</v>
      </c>
      <c r="O566" s="444">
        <f t="shared" si="8"/>
        <v>0</v>
      </c>
      <c r="P566" s="444">
        <f t="shared" si="8"/>
        <v>-9.0909090909091494E-3</v>
      </c>
    </row>
    <row r="567" spans="2:16" x14ac:dyDescent="0.2">
      <c r="B567" s="440" t="s">
        <v>1791</v>
      </c>
      <c r="C567" s="440" t="s">
        <v>1804</v>
      </c>
      <c r="D567" s="440" t="s">
        <v>1806</v>
      </c>
      <c r="E567" s="440">
        <v>49</v>
      </c>
      <c r="F567" s="440">
        <v>0.89</v>
      </c>
      <c r="G567" s="443">
        <v>1.01</v>
      </c>
      <c r="H567" s="443">
        <v>1.0900000000000001</v>
      </c>
      <c r="J567" s="440">
        <v>0.94</v>
      </c>
      <c r="K567" s="440">
        <v>1.01</v>
      </c>
      <c r="L567" s="443">
        <v>1.1000000000000001</v>
      </c>
      <c r="N567" s="444">
        <f t="shared" si="8"/>
        <v>-5.3191489361702038E-2</v>
      </c>
      <c r="O567" s="444">
        <f t="shared" si="8"/>
        <v>0</v>
      </c>
      <c r="P567" s="444">
        <f t="shared" si="8"/>
        <v>-9.0909090909091494E-3</v>
      </c>
    </row>
    <row r="568" spans="2:16" x14ac:dyDescent="0.2">
      <c r="B568" s="440" t="s">
        <v>1791</v>
      </c>
      <c r="C568" s="440" t="s">
        <v>1804</v>
      </c>
      <c r="D568" s="440" t="s">
        <v>1806</v>
      </c>
      <c r="E568" s="440">
        <v>50</v>
      </c>
      <c r="F568" s="440">
        <v>0.89</v>
      </c>
      <c r="G568" s="443">
        <v>1.01</v>
      </c>
      <c r="H568" s="443">
        <v>1.08</v>
      </c>
      <c r="J568" s="440">
        <v>0.94</v>
      </c>
      <c r="K568" s="440">
        <v>1.01</v>
      </c>
      <c r="L568" s="443">
        <v>1.0900000000000001</v>
      </c>
      <c r="N568" s="444">
        <f t="shared" si="8"/>
        <v>-5.3191489361702038E-2</v>
      </c>
      <c r="O568" s="444">
        <f t="shared" si="8"/>
        <v>0</v>
      </c>
      <c r="P568" s="444">
        <f t="shared" si="8"/>
        <v>-9.1743119266055606E-3</v>
      </c>
    </row>
    <row r="569" spans="2:16" x14ac:dyDescent="0.2">
      <c r="B569" s="440" t="s">
        <v>1791</v>
      </c>
      <c r="C569" s="440" t="s">
        <v>1804</v>
      </c>
      <c r="D569" s="440" t="s">
        <v>1806</v>
      </c>
      <c r="E569" s="440">
        <v>51</v>
      </c>
      <c r="F569" s="440">
        <v>0.89</v>
      </c>
      <c r="G569" s="443">
        <v>1.01</v>
      </c>
      <c r="H569" s="443">
        <v>1.08</v>
      </c>
      <c r="J569" s="440">
        <v>0.94</v>
      </c>
      <c r="K569" s="440">
        <v>1.01</v>
      </c>
      <c r="L569" s="443">
        <v>1.0900000000000001</v>
      </c>
      <c r="N569" s="444">
        <f t="shared" si="8"/>
        <v>-5.3191489361702038E-2</v>
      </c>
      <c r="O569" s="444">
        <f t="shared" si="8"/>
        <v>0</v>
      </c>
      <c r="P569" s="444">
        <f t="shared" si="8"/>
        <v>-9.1743119266055606E-3</v>
      </c>
    </row>
    <row r="570" spans="2:16" x14ac:dyDescent="0.2">
      <c r="B570" s="440" t="s">
        <v>1791</v>
      </c>
      <c r="C570" s="440" t="s">
        <v>1804</v>
      </c>
      <c r="D570" s="440" t="s">
        <v>1806</v>
      </c>
      <c r="E570" s="440">
        <v>52</v>
      </c>
      <c r="F570" s="440">
        <v>0.89</v>
      </c>
      <c r="G570" s="443">
        <v>1.01</v>
      </c>
      <c r="H570" s="443">
        <v>1.07</v>
      </c>
      <c r="J570" s="440">
        <v>0.94</v>
      </c>
      <c r="K570" s="440">
        <v>1.01</v>
      </c>
      <c r="L570" s="443">
        <v>1.08</v>
      </c>
      <c r="N570" s="444">
        <f t="shared" si="8"/>
        <v>-5.3191489361702038E-2</v>
      </c>
      <c r="O570" s="444">
        <f t="shared" si="8"/>
        <v>0</v>
      </c>
      <c r="P570" s="444">
        <f t="shared" si="8"/>
        <v>-9.2592592592593004E-3</v>
      </c>
    </row>
    <row r="571" spans="2:16" x14ac:dyDescent="0.2">
      <c r="B571" s="440" t="s">
        <v>1791</v>
      </c>
      <c r="C571" s="440" t="s">
        <v>1804</v>
      </c>
      <c r="D571" s="440" t="s">
        <v>1806</v>
      </c>
      <c r="E571" s="440">
        <v>53</v>
      </c>
      <c r="F571" s="440">
        <v>0.89</v>
      </c>
      <c r="G571" s="443">
        <v>1.01</v>
      </c>
      <c r="H571" s="443">
        <v>1.07</v>
      </c>
      <c r="J571" s="440">
        <v>0.94</v>
      </c>
      <c r="K571" s="440">
        <v>1.01</v>
      </c>
      <c r="L571" s="443">
        <v>1.08</v>
      </c>
      <c r="N571" s="444">
        <f t="shared" si="8"/>
        <v>-5.3191489361702038E-2</v>
      </c>
      <c r="O571" s="444">
        <f t="shared" si="8"/>
        <v>0</v>
      </c>
      <c r="P571" s="444">
        <f t="shared" si="8"/>
        <v>-9.2592592592593004E-3</v>
      </c>
    </row>
    <row r="572" spans="2:16" x14ac:dyDescent="0.2">
      <c r="B572" s="440" t="s">
        <v>1791</v>
      </c>
      <c r="C572" s="440" t="s">
        <v>1804</v>
      </c>
      <c r="D572" s="440" t="s">
        <v>1806</v>
      </c>
      <c r="E572" s="440">
        <v>54</v>
      </c>
      <c r="F572" s="440">
        <v>0.89</v>
      </c>
      <c r="G572" s="443">
        <v>1.01</v>
      </c>
      <c r="H572" s="443">
        <v>1.06</v>
      </c>
      <c r="J572" s="440">
        <v>0.94</v>
      </c>
      <c r="K572" s="440">
        <v>1.01</v>
      </c>
      <c r="L572" s="443">
        <v>1.07</v>
      </c>
      <c r="N572" s="444">
        <f t="shared" si="8"/>
        <v>-5.3191489361702038E-2</v>
      </c>
      <c r="O572" s="444">
        <f t="shared" si="8"/>
        <v>0</v>
      </c>
      <c r="P572" s="444">
        <f t="shared" si="8"/>
        <v>-9.3457943925233655E-3</v>
      </c>
    </row>
    <row r="573" spans="2:16" x14ac:dyDescent="0.2">
      <c r="B573" s="440" t="s">
        <v>1791</v>
      </c>
      <c r="C573" s="440" t="s">
        <v>1804</v>
      </c>
      <c r="D573" s="440" t="s">
        <v>1806</v>
      </c>
      <c r="E573" s="440">
        <v>55</v>
      </c>
      <c r="F573" s="440">
        <v>0.89</v>
      </c>
      <c r="G573" s="443">
        <v>1.01</v>
      </c>
      <c r="H573" s="443">
        <v>1.06</v>
      </c>
      <c r="J573" s="440">
        <v>0.94</v>
      </c>
      <c r="K573" s="440">
        <v>1.01</v>
      </c>
      <c r="L573" s="443">
        <v>1.07</v>
      </c>
      <c r="N573" s="444">
        <f t="shared" si="8"/>
        <v>-5.3191489361702038E-2</v>
      </c>
      <c r="O573" s="444">
        <f t="shared" si="8"/>
        <v>0</v>
      </c>
      <c r="P573" s="444">
        <f t="shared" si="8"/>
        <v>-9.3457943925233655E-3</v>
      </c>
    </row>
    <row r="574" spans="2:16" x14ac:dyDescent="0.2">
      <c r="B574" s="440" t="s">
        <v>1791</v>
      </c>
      <c r="C574" s="440" t="s">
        <v>1804</v>
      </c>
      <c r="D574" s="440" t="s">
        <v>1806</v>
      </c>
      <c r="E574" s="440">
        <v>56</v>
      </c>
      <c r="F574" s="440">
        <v>0.89</v>
      </c>
      <c r="G574" s="443">
        <v>1.01</v>
      </c>
      <c r="H574" s="443">
        <v>1.05</v>
      </c>
      <c r="J574" s="440">
        <v>0.94</v>
      </c>
      <c r="K574" s="440">
        <v>1.01</v>
      </c>
      <c r="L574" s="443">
        <v>1.06</v>
      </c>
      <c r="N574" s="444">
        <f t="shared" si="8"/>
        <v>-5.3191489361702038E-2</v>
      </c>
      <c r="O574" s="444">
        <f t="shared" si="8"/>
        <v>0</v>
      </c>
      <c r="P574" s="444">
        <f t="shared" si="8"/>
        <v>-9.4339622641509413E-3</v>
      </c>
    </row>
    <row r="575" spans="2:16" x14ac:dyDescent="0.2">
      <c r="B575" s="440" t="s">
        <v>1791</v>
      </c>
      <c r="C575" s="440" t="s">
        <v>1804</v>
      </c>
      <c r="D575" s="440" t="s">
        <v>1806</v>
      </c>
      <c r="E575" s="440">
        <v>57</v>
      </c>
      <c r="F575" s="440">
        <v>0.89</v>
      </c>
      <c r="G575" s="443">
        <v>1.01</v>
      </c>
      <c r="H575" s="443">
        <v>1.05</v>
      </c>
      <c r="J575" s="440">
        <v>0.94</v>
      </c>
      <c r="K575" s="440">
        <v>1.01</v>
      </c>
      <c r="L575" s="443">
        <v>1.06</v>
      </c>
      <c r="N575" s="444">
        <f t="shared" si="8"/>
        <v>-5.3191489361702038E-2</v>
      </c>
      <c r="O575" s="444">
        <f t="shared" si="8"/>
        <v>0</v>
      </c>
      <c r="P575" s="444">
        <f t="shared" si="8"/>
        <v>-9.4339622641509413E-3</v>
      </c>
    </row>
    <row r="576" spans="2:16" x14ac:dyDescent="0.2">
      <c r="B576" s="440" t="s">
        <v>1791</v>
      </c>
      <c r="C576" s="440" t="s">
        <v>1804</v>
      </c>
      <c r="D576" s="440" t="s">
        <v>1806</v>
      </c>
      <c r="E576" s="440">
        <v>58</v>
      </c>
      <c r="F576" s="440">
        <v>0.89</v>
      </c>
      <c r="G576" s="443">
        <v>1.01</v>
      </c>
      <c r="H576" s="443">
        <v>1.05</v>
      </c>
      <c r="J576" s="440">
        <v>0.94</v>
      </c>
      <c r="K576" s="440">
        <v>1.01</v>
      </c>
      <c r="L576" s="443">
        <v>1.05</v>
      </c>
      <c r="N576" s="444">
        <f t="shared" si="8"/>
        <v>-5.3191489361702038E-2</v>
      </c>
      <c r="O576" s="444">
        <f t="shared" si="8"/>
        <v>0</v>
      </c>
      <c r="P576" s="444">
        <f t="shared" si="8"/>
        <v>0</v>
      </c>
    </row>
    <row r="577" spans="2:16" x14ac:dyDescent="0.2">
      <c r="B577" s="440" t="s">
        <v>1791</v>
      </c>
      <c r="C577" s="440" t="s">
        <v>1804</v>
      </c>
      <c r="D577" s="440" t="s">
        <v>1806</v>
      </c>
      <c r="E577" s="440">
        <v>59</v>
      </c>
      <c r="F577" s="440">
        <v>0.89</v>
      </c>
      <c r="G577" s="443">
        <v>1.01</v>
      </c>
      <c r="H577" s="443">
        <v>1.04</v>
      </c>
      <c r="J577" s="440">
        <v>0.94</v>
      </c>
      <c r="K577" s="440">
        <v>1.01</v>
      </c>
      <c r="L577" s="443">
        <v>1.05</v>
      </c>
      <c r="N577" s="444">
        <f t="shared" si="8"/>
        <v>-5.3191489361702038E-2</v>
      </c>
      <c r="O577" s="444">
        <f t="shared" si="8"/>
        <v>0</v>
      </c>
      <c r="P577" s="444">
        <f t="shared" si="8"/>
        <v>-9.52380952380949E-3</v>
      </c>
    </row>
    <row r="578" spans="2:16" x14ac:dyDescent="0.2">
      <c r="B578" s="440" t="s">
        <v>1791</v>
      </c>
      <c r="C578" s="440" t="s">
        <v>1804</v>
      </c>
      <c r="D578" s="440" t="s">
        <v>1806</v>
      </c>
      <c r="E578" s="440">
        <v>60</v>
      </c>
      <c r="F578" s="440">
        <v>0.89</v>
      </c>
      <c r="G578" s="443">
        <v>1.01</v>
      </c>
      <c r="H578" s="443">
        <v>1.04</v>
      </c>
      <c r="J578" s="440">
        <v>0.94</v>
      </c>
      <c r="K578" s="440">
        <v>1.01</v>
      </c>
      <c r="L578" s="443">
        <v>1.05</v>
      </c>
      <c r="N578" s="444">
        <f t="shared" si="8"/>
        <v>-5.3191489361702038E-2</v>
      </c>
      <c r="O578" s="444">
        <f t="shared" si="8"/>
        <v>0</v>
      </c>
      <c r="P578" s="444">
        <f t="shared" si="8"/>
        <v>-9.52380952380949E-3</v>
      </c>
    </row>
    <row r="579" spans="2:16" x14ac:dyDescent="0.2">
      <c r="B579" s="440" t="s">
        <v>1791</v>
      </c>
      <c r="C579" s="440" t="s">
        <v>1804</v>
      </c>
      <c r="D579" s="440" t="s">
        <v>1806</v>
      </c>
      <c r="E579" s="440">
        <v>61</v>
      </c>
      <c r="F579" s="440">
        <v>0.89</v>
      </c>
      <c r="G579" s="443">
        <v>1.01</v>
      </c>
      <c r="H579" s="443">
        <v>1.04</v>
      </c>
      <c r="J579" s="440">
        <v>0.94</v>
      </c>
      <c r="K579" s="440">
        <v>1.01</v>
      </c>
      <c r="L579" s="443">
        <v>1.04</v>
      </c>
      <c r="N579" s="444">
        <f t="shared" si="8"/>
        <v>-5.3191489361702038E-2</v>
      </c>
      <c r="O579" s="444">
        <f t="shared" si="8"/>
        <v>0</v>
      </c>
      <c r="P579" s="444">
        <f t="shared" si="8"/>
        <v>0</v>
      </c>
    </row>
    <row r="580" spans="2:16" x14ac:dyDescent="0.2">
      <c r="B580" s="440" t="s">
        <v>1791</v>
      </c>
      <c r="C580" s="440" t="s">
        <v>1804</v>
      </c>
      <c r="D580" s="440" t="s">
        <v>1806</v>
      </c>
      <c r="E580" s="440">
        <v>62</v>
      </c>
      <c r="F580" s="440">
        <v>0.89</v>
      </c>
      <c r="G580" s="443">
        <v>1.01</v>
      </c>
      <c r="H580" s="443">
        <v>1.03</v>
      </c>
      <c r="J580" s="440">
        <v>0.94</v>
      </c>
      <c r="K580" s="440">
        <v>1.01</v>
      </c>
      <c r="L580" s="443">
        <v>1.04</v>
      </c>
      <c r="N580" s="444">
        <f t="shared" si="8"/>
        <v>-5.3191489361702038E-2</v>
      </c>
      <c r="O580" s="444">
        <f t="shared" si="8"/>
        <v>0</v>
      </c>
      <c r="P580" s="444">
        <f t="shared" si="8"/>
        <v>-9.6153846153845812E-3</v>
      </c>
    </row>
    <row r="581" spans="2:16" x14ac:dyDescent="0.2">
      <c r="B581" s="440" t="s">
        <v>1791</v>
      </c>
      <c r="C581" s="440" t="s">
        <v>1804</v>
      </c>
      <c r="D581" s="440" t="s">
        <v>1806</v>
      </c>
      <c r="E581" s="440">
        <v>63</v>
      </c>
      <c r="F581" s="440">
        <v>0.89</v>
      </c>
      <c r="G581" s="443">
        <v>1.01</v>
      </c>
      <c r="H581" s="443">
        <v>1.03</v>
      </c>
      <c r="J581" s="440">
        <v>0.94</v>
      </c>
      <c r="K581" s="440">
        <v>1.01</v>
      </c>
      <c r="L581" s="443">
        <v>1.04</v>
      </c>
      <c r="N581" s="444">
        <f t="shared" si="8"/>
        <v>-5.3191489361702038E-2</v>
      </c>
      <c r="O581" s="444">
        <f t="shared" si="8"/>
        <v>0</v>
      </c>
      <c r="P581" s="444">
        <f t="shared" si="8"/>
        <v>-9.6153846153845812E-3</v>
      </c>
    </row>
    <row r="582" spans="2:16" x14ac:dyDescent="0.2">
      <c r="B582" s="440" t="s">
        <v>1791</v>
      </c>
      <c r="C582" s="440" t="s">
        <v>1804</v>
      </c>
      <c r="D582" s="440" t="s">
        <v>1806</v>
      </c>
      <c r="E582" s="440">
        <v>64</v>
      </c>
      <c r="F582" s="440">
        <v>0.89</v>
      </c>
      <c r="G582" s="443">
        <v>1.01</v>
      </c>
      <c r="H582" s="443">
        <v>1.03</v>
      </c>
      <c r="J582" s="440">
        <v>0.94</v>
      </c>
      <c r="K582" s="440">
        <v>1.01</v>
      </c>
      <c r="L582" s="443">
        <v>1.03</v>
      </c>
      <c r="N582" s="444">
        <f t="shared" si="8"/>
        <v>-5.3191489361702038E-2</v>
      </c>
      <c r="O582" s="444">
        <f t="shared" si="8"/>
        <v>0</v>
      </c>
      <c r="P582" s="444">
        <f t="shared" si="8"/>
        <v>0</v>
      </c>
    </row>
    <row r="583" spans="2:16" x14ac:dyDescent="0.2">
      <c r="B583" s="440" t="s">
        <v>1791</v>
      </c>
      <c r="C583" s="440" t="s">
        <v>1804</v>
      </c>
      <c r="D583" s="440" t="s">
        <v>1806</v>
      </c>
      <c r="E583" s="440">
        <v>65</v>
      </c>
      <c r="F583" s="440">
        <v>0.89</v>
      </c>
      <c r="G583" s="443">
        <v>1.01</v>
      </c>
      <c r="H583" s="443">
        <v>1.02</v>
      </c>
      <c r="J583" s="440">
        <v>0.94</v>
      </c>
      <c r="K583" s="440">
        <v>1.01</v>
      </c>
      <c r="L583" s="443">
        <v>1.03</v>
      </c>
      <c r="N583" s="444">
        <f t="shared" si="8"/>
        <v>-5.3191489361702038E-2</v>
      </c>
      <c r="O583" s="444">
        <f t="shared" si="8"/>
        <v>0</v>
      </c>
      <c r="P583" s="444">
        <f t="shared" si="8"/>
        <v>-9.7087378640776656E-3</v>
      </c>
    </row>
    <row r="584" spans="2:16" x14ac:dyDescent="0.2">
      <c r="B584" s="440" t="s">
        <v>1791</v>
      </c>
      <c r="C584" s="440" t="s">
        <v>1804</v>
      </c>
      <c r="D584" s="440" t="s">
        <v>1806</v>
      </c>
      <c r="E584" s="440">
        <v>66</v>
      </c>
      <c r="F584" s="440">
        <v>0.89</v>
      </c>
      <c r="G584" s="443">
        <v>1.01</v>
      </c>
      <c r="H584" s="443">
        <v>1.02</v>
      </c>
      <c r="J584" s="440">
        <v>0.94</v>
      </c>
      <c r="K584" s="440">
        <v>1.01</v>
      </c>
      <c r="L584" s="443">
        <v>1.03</v>
      </c>
      <c r="N584" s="444">
        <f t="shared" si="8"/>
        <v>-5.3191489361702038E-2</v>
      </c>
      <c r="O584" s="444">
        <f t="shared" si="8"/>
        <v>0</v>
      </c>
      <c r="P584" s="444">
        <f t="shared" si="8"/>
        <v>-9.7087378640776656E-3</v>
      </c>
    </row>
    <row r="585" spans="2:16" x14ac:dyDescent="0.2">
      <c r="B585" s="440" t="s">
        <v>1791</v>
      </c>
      <c r="C585" s="440" t="s">
        <v>1804</v>
      </c>
      <c r="D585" s="440" t="s">
        <v>1806</v>
      </c>
      <c r="E585" s="440">
        <v>67</v>
      </c>
      <c r="F585" s="440">
        <v>0.89</v>
      </c>
      <c r="G585" s="443">
        <v>1.01</v>
      </c>
      <c r="H585" s="443">
        <v>1.02</v>
      </c>
      <c r="J585" s="440">
        <v>0.94</v>
      </c>
      <c r="K585" s="440">
        <v>1.01</v>
      </c>
      <c r="L585" s="443">
        <v>1.02</v>
      </c>
      <c r="N585" s="444">
        <f t="shared" si="8"/>
        <v>-5.3191489361702038E-2</v>
      </c>
      <c r="O585" s="444">
        <f t="shared" si="8"/>
        <v>0</v>
      </c>
      <c r="P585" s="444">
        <f t="shared" si="8"/>
        <v>0</v>
      </c>
    </row>
    <row r="586" spans="2:16" x14ac:dyDescent="0.2">
      <c r="B586" s="440" t="s">
        <v>1791</v>
      </c>
      <c r="C586" s="440" t="s">
        <v>1804</v>
      </c>
      <c r="D586" s="440" t="s">
        <v>1806</v>
      </c>
      <c r="E586" s="440">
        <v>68</v>
      </c>
      <c r="F586" s="440">
        <v>0.89</v>
      </c>
      <c r="G586" s="443">
        <v>1.01</v>
      </c>
      <c r="H586" s="443">
        <v>1.02</v>
      </c>
      <c r="J586" s="440">
        <v>0.94</v>
      </c>
      <c r="K586" s="440">
        <v>1.01</v>
      </c>
      <c r="L586" s="443">
        <v>1.02</v>
      </c>
      <c r="N586" s="444">
        <f t="shared" si="8"/>
        <v>-5.3191489361702038E-2</v>
      </c>
      <c r="O586" s="444">
        <f t="shared" si="8"/>
        <v>0</v>
      </c>
      <c r="P586" s="444">
        <f t="shared" si="8"/>
        <v>0</v>
      </c>
    </row>
    <row r="587" spans="2:16" x14ac:dyDescent="0.2">
      <c r="B587" s="440" t="s">
        <v>1791</v>
      </c>
      <c r="C587" s="440" t="s">
        <v>1804</v>
      </c>
      <c r="D587" s="440" t="s">
        <v>1806</v>
      </c>
      <c r="E587" s="440">
        <v>69</v>
      </c>
      <c r="F587" s="440">
        <v>0.89</v>
      </c>
      <c r="G587" s="443">
        <v>1.01</v>
      </c>
      <c r="H587" s="443">
        <v>1.01</v>
      </c>
      <c r="J587" s="440">
        <v>0.94</v>
      </c>
      <c r="K587" s="440">
        <v>1.01</v>
      </c>
      <c r="L587" s="443">
        <v>1.02</v>
      </c>
      <c r="N587" s="444">
        <f t="shared" si="8"/>
        <v>-5.3191489361702038E-2</v>
      </c>
      <c r="O587" s="444">
        <f t="shared" si="8"/>
        <v>0</v>
      </c>
      <c r="P587" s="444">
        <f t="shared" si="8"/>
        <v>-9.8039215686274161E-3</v>
      </c>
    </row>
    <row r="588" spans="2:16" x14ac:dyDescent="0.2">
      <c r="B588" s="440" t="s">
        <v>1791</v>
      </c>
      <c r="C588" s="440" t="s">
        <v>1804</v>
      </c>
      <c r="D588" s="440" t="s">
        <v>1806</v>
      </c>
      <c r="E588" s="440">
        <v>70</v>
      </c>
      <c r="F588" s="440">
        <v>0.89</v>
      </c>
      <c r="G588" s="443">
        <v>1.01</v>
      </c>
      <c r="H588" s="443">
        <v>1.01</v>
      </c>
      <c r="J588" s="440">
        <v>0.94</v>
      </c>
      <c r="K588" s="440">
        <v>1.01</v>
      </c>
      <c r="L588" s="443">
        <v>1.01</v>
      </c>
      <c r="N588" s="444">
        <f t="shared" si="8"/>
        <v>-5.3191489361702038E-2</v>
      </c>
      <c r="O588" s="444">
        <f t="shared" si="8"/>
        <v>0</v>
      </c>
      <c r="P588" s="444">
        <f t="shared" si="8"/>
        <v>0</v>
      </c>
    </row>
    <row r="589" spans="2:16" x14ac:dyDescent="0.2">
      <c r="B589" s="440" t="s">
        <v>1791</v>
      </c>
      <c r="C589" s="440" t="s">
        <v>1804</v>
      </c>
      <c r="D589" s="440" t="s">
        <v>1806</v>
      </c>
      <c r="E589" s="440">
        <v>71</v>
      </c>
      <c r="F589" s="440">
        <v>0.89</v>
      </c>
      <c r="G589" s="443">
        <v>1.01</v>
      </c>
      <c r="H589" s="443">
        <v>1.01</v>
      </c>
      <c r="J589" s="440">
        <v>0.94</v>
      </c>
      <c r="K589" s="440">
        <v>1.01</v>
      </c>
      <c r="L589" s="443">
        <v>1.01</v>
      </c>
      <c r="N589" s="444">
        <f t="shared" ref="N589:P618" si="9">F589/J589-1</f>
        <v>-5.3191489361702038E-2</v>
      </c>
      <c r="O589" s="444">
        <f t="shared" si="9"/>
        <v>0</v>
      </c>
      <c r="P589" s="444">
        <f t="shared" si="9"/>
        <v>0</v>
      </c>
    </row>
    <row r="590" spans="2:16" x14ac:dyDescent="0.2">
      <c r="B590" s="440" t="s">
        <v>1791</v>
      </c>
      <c r="C590" s="440" t="s">
        <v>1804</v>
      </c>
      <c r="D590" s="440" t="s">
        <v>1806</v>
      </c>
      <c r="E590" s="440">
        <v>72</v>
      </c>
      <c r="F590" s="440">
        <v>0.89</v>
      </c>
      <c r="G590" s="443">
        <v>1.01</v>
      </c>
      <c r="H590" s="443">
        <v>1.01</v>
      </c>
      <c r="J590" s="440">
        <v>0.94</v>
      </c>
      <c r="K590" s="440">
        <v>1.01</v>
      </c>
      <c r="L590" s="443">
        <v>1.01</v>
      </c>
      <c r="N590" s="444">
        <f t="shared" si="9"/>
        <v>-5.3191489361702038E-2</v>
      </c>
      <c r="O590" s="444">
        <f t="shared" si="9"/>
        <v>0</v>
      </c>
      <c r="P590" s="444">
        <f t="shared" si="9"/>
        <v>0</v>
      </c>
    </row>
    <row r="591" spans="2:16" x14ac:dyDescent="0.2">
      <c r="B591" s="440" t="s">
        <v>1791</v>
      </c>
      <c r="C591" s="440" t="s">
        <v>1804</v>
      </c>
      <c r="D591" s="440" t="s">
        <v>1806</v>
      </c>
      <c r="E591" s="440">
        <v>73</v>
      </c>
      <c r="F591" s="440">
        <v>0.89</v>
      </c>
      <c r="G591" s="443">
        <v>1.01</v>
      </c>
      <c r="H591" s="443">
        <v>1.01</v>
      </c>
      <c r="J591" s="440">
        <v>0.94</v>
      </c>
      <c r="K591" s="440">
        <v>1.01</v>
      </c>
      <c r="L591" s="443">
        <v>1.01</v>
      </c>
      <c r="N591" s="444">
        <f t="shared" si="9"/>
        <v>-5.3191489361702038E-2</v>
      </c>
      <c r="O591" s="444">
        <f t="shared" si="9"/>
        <v>0</v>
      </c>
      <c r="P591" s="444">
        <f t="shared" si="9"/>
        <v>0</v>
      </c>
    </row>
    <row r="592" spans="2:16" x14ac:dyDescent="0.2">
      <c r="B592" s="440" t="s">
        <v>1791</v>
      </c>
      <c r="C592" s="440" t="s">
        <v>1804</v>
      </c>
      <c r="D592" s="440" t="s">
        <v>1806</v>
      </c>
      <c r="E592" s="440">
        <v>74</v>
      </c>
      <c r="F592" s="440">
        <v>0.89</v>
      </c>
      <c r="G592" s="443">
        <v>1</v>
      </c>
      <c r="H592" s="443">
        <v>1</v>
      </c>
      <c r="J592" s="440">
        <v>0.94</v>
      </c>
      <c r="K592" s="440">
        <v>1.01</v>
      </c>
      <c r="L592" s="443">
        <v>1.01</v>
      </c>
      <c r="N592" s="444">
        <f t="shared" si="9"/>
        <v>-5.3191489361702038E-2</v>
      </c>
      <c r="O592" s="444">
        <f t="shared" si="9"/>
        <v>-9.9009900990099098E-3</v>
      </c>
      <c r="P592" s="444">
        <f t="shared" si="9"/>
        <v>-9.9009900990099098E-3</v>
      </c>
    </row>
    <row r="593" spans="2:16" x14ac:dyDescent="0.2">
      <c r="B593" s="440" t="s">
        <v>1791</v>
      </c>
      <c r="C593" s="440" t="s">
        <v>1804</v>
      </c>
      <c r="D593" s="440" t="s">
        <v>1806</v>
      </c>
      <c r="E593" s="440">
        <v>75</v>
      </c>
      <c r="F593" s="440">
        <v>0.89</v>
      </c>
      <c r="G593" s="443">
        <v>1</v>
      </c>
      <c r="H593" s="443">
        <v>1</v>
      </c>
      <c r="J593" s="440">
        <v>0.94</v>
      </c>
      <c r="K593" s="440">
        <v>1.01</v>
      </c>
      <c r="L593" s="443">
        <v>1</v>
      </c>
      <c r="N593" s="444">
        <f t="shared" si="9"/>
        <v>-5.3191489361702038E-2</v>
      </c>
      <c r="O593" s="444">
        <f t="shared" si="9"/>
        <v>-9.9009900990099098E-3</v>
      </c>
      <c r="P593" s="444">
        <f t="shared" si="9"/>
        <v>0</v>
      </c>
    </row>
    <row r="594" spans="2:16" x14ac:dyDescent="0.2">
      <c r="B594" s="440" t="s">
        <v>1791</v>
      </c>
      <c r="C594" s="440" t="s">
        <v>1804</v>
      </c>
      <c r="D594" s="440" t="s">
        <v>1806</v>
      </c>
      <c r="E594" s="440">
        <v>76</v>
      </c>
      <c r="F594" s="440">
        <v>0.89</v>
      </c>
      <c r="G594" s="443">
        <v>1</v>
      </c>
      <c r="H594" s="443">
        <v>1</v>
      </c>
      <c r="J594" s="440">
        <v>0.94</v>
      </c>
      <c r="K594" s="440">
        <v>1.01</v>
      </c>
      <c r="L594" s="443">
        <v>1</v>
      </c>
      <c r="N594" s="444">
        <f t="shared" si="9"/>
        <v>-5.3191489361702038E-2</v>
      </c>
      <c r="O594" s="444">
        <f t="shared" si="9"/>
        <v>-9.9009900990099098E-3</v>
      </c>
      <c r="P594" s="444">
        <f t="shared" si="9"/>
        <v>0</v>
      </c>
    </row>
    <row r="595" spans="2:16" x14ac:dyDescent="0.2">
      <c r="B595" s="440" t="s">
        <v>1791</v>
      </c>
      <c r="C595" s="440" t="s">
        <v>1804</v>
      </c>
      <c r="D595" s="440" t="s">
        <v>1806</v>
      </c>
      <c r="E595" s="440">
        <v>77</v>
      </c>
      <c r="F595" s="440">
        <v>0.89</v>
      </c>
      <c r="G595" s="443">
        <v>1</v>
      </c>
      <c r="H595" s="443">
        <v>1</v>
      </c>
      <c r="J595" s="440">
        <v>0.94</v>
      </c>
      <c r="K595" s="440">
        <v>1.01</v>
      </c>
      <c r="L595" s="443">
        <v>1</v>
      </c>
      <c r="N595" s="444">
        <f t="shared" si="9"/>
        <v>-5.3191489361702038E-2</v>
      </c>
      <c r="O595" s="444">
        <f t="shared" si="9"/>
        <v>-9.9009900990099098E-3</v>
      </c>
      <c r="P595" s="444">
        <f t="shared" si="9"/>
        <v>0</v>
      </c>
    </row>
    <row r="596" spans="2:16" x14ac:dyDescent="0.2">
      <c r="B596" s="440" t="s">
        <v>1791</v>
      </c>
      <c r="C596" s="440" t="s">
        <v>1804</v>
      </c>
      <c r="D596" s="440" t="s">
        <v>1806</v>
      </c>
      <c r="E596" s="440">
        <v>78</v>
      </c>
      <c r="F596" s="440">
        <v>0.89</v>
      </c>
      <c r="G596" s="443">
        <v>1</v>
      </c>
      <c r="H596" s="443">
        <v>1</v>
      </c>
      <c r="J596" s="440">
        <v>0.94</v>
      </c>
      <c r="K596" s="440">
        <v>1.01</v>
      </c>
      <c r="L596" s="443">
        <v>1</v>
      </c>
      <c r="N596" s="444">
        <f t="shared" si="9"/>
        <v>-5.3191489361702038E-2</v>
      </c>
      <c r="O596" s="444">
        <f t="shared" si="9"/>
        <v>-9.9009900990099098E-3</v>
      </c>
      <c r="P596" s="444">
        <f t="shared" si="9"/>
        <v>0</v>
      </c>
    </row>
    <row r="597" spans="2:16" x14ac:dyDescent="0.2">
      <c r="B597" s="440" t="s">
        <v>1791</v>
      </c>
      <c r="C597" s="440" t="s">
        <v>1804</v>
      </c>
      <c r="D597" s="440" t="s">
        <v>1806</v>
      </c>
      <c r="E597" s="440">
        <v>79</v>
      </c>
      <c r="F597" s="440">
        <v>0.89</v>
      </c>
      <c r="G597" s="443">
        <v>1</v>
      </c>
      <c r="H597" s="443">
        <v>1</v>
      </c>
      <c r="J597" s="440">
        <v>0.94</v>
      </c>
      <c r="K597" s="440">
        <v>1.01</v>
      </c>
      <c r="L597" s="443">
        <v>1</v>
      </c>
      <c r="N597" s="444">
        <f t="shared" si="9"/>
        <v>-5.3191489361702038E-2</v>
      </c>
      <c r="O597" s="444">
        <f t="shared" si="9"/>
        <v>-9.9009900990099098E-3</v>
      </c>
      <c r="P597" s="444">
        <f t="shared" si="9"/>
        <v>0</v>
      </c>
    </row>
    <row r="598" spans="2:16" x14ac:dyDescent="0.2">
      <c r="B598" s="440" t="s">
        <v>1791</v>
      </c>
      <c r="C598" s="440" t="s">
        <v>1804</v>
      </c>
      <c r="D598" s="440" t="s">
        <v>1806</v>
      </c>
      <c r="E598" s="440">
        <v>80</v>
      </c>
      <c r="F598" s="440">
        <v>0.89</v>
      </c>
      <c r="G598" s="443">
        <v>1</v>
      </c>
      <c r="H598" s="443">
        <v>1</v>
      </c>
      <c r="J598" s="440">
        <v>0.94</v>
      </c>
      <c r="K598" s="440">
        <v>1.01</v>
      </c>
      <c r="L598" s="443">
        <v>1</v>
      </c>
      <c r="N598" s="444">
        <f t="shared" si="9"/>
        <v>-5.3191489361702038E-2</v>
      </c>
      <c r="O598" s="444">
        <f t="shared" si="9"/>
        <v>-9.9009900990099098E-3</v>
      </c>
      <c r="P598" s="444">
        <f t="shared" si="9"/>
        <v>0</v>
      </c>
    </row>
    <row r="599" spans="2:16" x14ac:dyDescent="0.2">
      <c r="B599" s="440" t="s">
        <v>1791</v>
      </c>
      <c r="C599" s="440" t="s">
        <v>1804</v>
      </c>
      <c r="D599" s="440" t="s">
        <v>1806</v>
      </c>
      <c r="E599" s="440">
        <v>81</v>
      </c>
      <c r="F599" s="440">
        <v>0.89</v>
      </c>
      <c r="G599" s="443">
        <v>1</v>
      </c>
      <c r="H599" s="443">
        <v>1</v>
      </c>
      <c r="J599" s="440">
        <v>0.94</v>
      </c>
      <c r="K599" s="440">
        <v>1.01</v>
      </c>
      <c r="L599" s="443">
        <v>1</v>
      </c>
      <c r="N599" s="444">
        <f t="shared" si="9"/>
        <v>-5.3191489361702038E-2</v>
      </c>
      <c r="O599" s="444">
        <f t="shared" si="9"/>
        <v>-9.9009900990099098E-3</v>
      </c>
      <c r="P599" s="444">
        <f t="shared" si="9"/>
        <v>0</v>
      </c>
    </row>
    <row r="600" spans="2:16" x14ac:dyDescent="0.2">
      <c r="B600" s="440" t="s">
        <v>1791</v>
      </c>
      <c r="C600" s="440" t="s">
        <v>1804</v>
      </c>
      <c r="D600" s="440" t="s">
        <v>1806</v>
      </c>
      <c r="E600" s="440">
        <v>82</v>
      </c>
      <c r="F600" s="440">
        <v>0.89</v>
      </c>
      <c r="G600" s="443">
        <v>1</v>
      </c>
      <c r="H600" s="443">
        <v>1</v>
      </c>
      <c r="J600" s="440">
        <v>0.94</v>
      </c>
      <c r="K600" s="440">
        <v>1.01</v>
      </c>
      <c r="L600" s="443">
        <v>1</v>
      </c>
      <c r="N600" s="444">
        <f t="shared" si="9"/>
        <v>-5.3191489361702038E-2</v>
      </c>
      <c r="O600" s="444">
        <f t="shared" si="9"/>
        <v>-9.9009900990099098E-3</v>
      </c>
      <c r="P600" s="444">
        <f t="shared" si="9"/>
        <v>0</v>
      </c>
    </row>
    <row r="601" spans="2:16" x14ac:dyDescent="0.2">
      <c r="B601" s="440" t="s">
        <v>1791</v>
      </c>
      <c r="C601" s="440" t="s">
        <v>1804</v>
      </c>
      <c r="D601" s="440" t="s">
        <v>1806</v>
      </c>
      <c r="E601" s="440">
        <v>83</v>
      </c>
      <c r="F601" s="440">
        <v>0.89</v>
      </c>
      <c r="G601" s="443">
        <v>1</v>
      </c>
      <c r="H601" s="443">
        <v>1</v>
      </c>
      <c r="J601" s="440">
        <v>0.94</v>
      </c>
      <c r="K601" s="440">
        <v>1.01</v>
      </c>
      <c r="L601" s="443">
        <v>1</v>
      </c>
      <c r="N601" s="444">
        <f t="shared" si="9"/>
        <v>-5.3191489361702038E-2</v>
      </c>
      <c r="O601" s="444">
        <f t="shared" si="9"/>
        <v>-9.9009900990099098E-3</v>
      </c>
      <c r="P601" s="444">
        <f t="shared" si="9"/>
        <v>0</v>
      </c>
    </row>
    <row r="602" spans="2:16" x14ac:dyDescent="0.2">
      <c r="B602" s="440" t="s">
        <v>1791</v>
      </c>
      <c r="C602" s="440" t="s">
        <v>1804</v>
      </c>
      <c r="D602" s="440" t="s">
        <v>1806</v>
      </c>
      <c r="E602" s="440">
        <v>84</v>
      </c>
      <c r="F602" s="440">
        <v>0.89</v>
      </c>
      <c r="G602" s="443">
        <v>1</v>
      </c>
      <c r="H602" s="443">
        <v>1</v>
      </c>
      <c r="J602" s="440">
        <v>0.94</v>
      </c>
      <c r="K602" s="440">
        <v>1.01</v>
      </c>
      <c r="L602" s="443">
        <v>1</v>
      </c>
      <c r="N602" s="444">
        <f t="shared" si="9"/>
        <v>-5.3191489361702038E-2</v>
      </c>
      <c r="O602" s="444">
        <f t="shared" si="9"/>
        <v>-9.9009900990099098E-3</v>
      </c>
      <c r="P602" s="444">
        <f t="shared" si="9"/>
        <v>0</v>
      </c>
    </row>
    <row r="603" spans="2:16" x14ac:dyDescent="0.2">
      <c r="B603" s="440" t="s">
        <v>1791</v>
      </c>
      <c r="C603" s="440" t="s">
        <v>1804</v>
      </c>
      <c r="D603" s="440" t="s">
        <v>1806</v>
      </c>
      <c r="E603" s="440">
        <v>85</v>
      </c>
      <c r="F603" s="440">
        <v>0.89</v>
      </c>
      <c r="G603" s="443">
        <v>1</v>
      </c>
      <c r="H603" s="443">
        <v>1</v>
      </c>
      <c r="J603" s="440">
        <v>0.94</v>
      </c>
      <c r="K603" s="440">
        <v>1.01</v>
      </c>
      <c r="L603" s="443">
        <v>1</v>
      </c>
      <c r="N603" s="444">
        <f t="shared" si="9"/>
        <v>-5.3191489361702038E-2</v>
      </c>
      <c r="O603" s="444">
        <f t="shared" si="9"/>
        <v>-9.9009900990099098E-3</v>
      </c>
      <c r="P603" s="444">
        <f t="shared" si="9"/>
        <v>0</v>
      </c>
    </row>
    <row r="604" spans="2:16" x14ac:dyDescent="0.2">
      <c r="B604" s="440" t="s">
        <v>1791</v>
      </c>
      <c r="C604" s="440" t="s">
        <v>1804</v>
      </c>
      <c r="D604" s="440" t="s">
        <v>1806</v>
      </c>
      <c r="E604" s="440">
        <v>86</v>
      </c>
      <c r="F604" s="440">
        <v>0.89</v>
      </c>
      <c r="G604" s="443">
        <v>1</v>
      </c>
      <c r="H604" s="443">
        <v>1</v>
      </c>
      <c r="J604" s="440">
        <v>0.94</v>
      </c>
      <c r="K604" s="440">
        <v>1.01</v>
      </c>
      <c r="L604" s="443">
        <v>1</v>
      </c>
      <c r="N604" s="444">
        <f t="shared" si="9"/>
        <v>-5.3191489361702038E-2</v>
      </c>
      <c r="O604" s="444">
        <f t="shared" si="9"/>
        <v>-9.9009900990099098E-3</v>
      </c>
      <c r="P604" s="444">
        <f t="shared" si="9"/>
        <v>0</v>
      </c>
    </row>
    <row r="605" spans="2:16" x14ac:dyDescent="0.2">
      <c r="B605" s="440" t="s">
        <v>1791</v>
      </c>
      <c r="C605" s="440" t="s">
        <v>1804</v>
      </c>
      <c r="D605" s="440" t="s">
        <v>1806</v>
      </c>
      <c r="E605" s="440">
        <v>87</v>
      </c>
      <c r="F605" s="440">
        <v>0.89</v>
      </c>
      <c r="G605" s="443">
        <v>1</v>
      </c>
      <c r="H605" s="443">
        <v>1</v>
      </c>
      <c r="J605" s="440">
        <v>0.94</v>
      </c>
      <c r="K605" s="440">
        <v>1.01</v>
      </c>
      <c r="L605" s="443">
        <v>1</v>
      </c>
      <c r="N605" s="444">
        <f t="shared" si="9"/>
        <v>-5.3191489361702038E-2</v>
      </c>
      <c r="O605" s="444">
        <f t="shared" si="9"/>
        <v>-9.9009900990099098E-3</v>
      </c>
      <c r="P605" s="444">
        <f t="shared" si="9"/>
        <v>0</v>
      </c>
    </row>
    <row r="606" spans="2:16" x14ac:dyDescent="0.2">
      <c r="B606" s="440" t="s">
        <v>1791</v>
      </c>
      <c r="C606" s="440" t="s">
        <v>1804</v>
      </c>
      <c r="D606" s="440" t="s">
        <v>1806</v>
      </c>
      <c r="E606" s="440">
        <v>88</v>
      </c>
      <c r="F606" s="440">
        <v>0.89</v>
      </c>
      <c r="G606" s="443">
        <v>1</v>
      </c>
      <c r="H606" s="443">
        <v>1</v>
      </c>
      <c r="J606" s="440">
        <v>0.94</v>
      </c>
      <c r="K606" s="440">
        <v>1.01</v>
      </c>
      <c r="L606" s="443">
        <v>1</v>
      </c>
      <c r="N606" s="444">
        <f t="shared" si="9"/>
        <v>-5.3191489361702038E-2</v>
      </c>
      <c r="O606" s="444">
        <f t="shared" si="9"/>
        <v>-9.9009900990099098E-3</v>
      </c>
      <c r="P606" s="444">
        <f t="shared" si="9"/>
        <v>0</v>
      </c>
    </row>
    <row r="607" spans="2:16" x14ac:dyDescent="0.2">
      <c r="B607" s="440" t="s">
        <v>1791</v>
      </c>
      <c r="C607" s="440" t="s">
        <v>1804</v>
      </c>
      <c r="D607" s="440" t="s">
        <v>1806</v>
      </c>
      <c r="E607" s="440">
        <v>89</v>
      </c>
      <c r="F607" s="440">
        <v>0.89</v>
      </c>
      <c r="G607" s="443">
        <v>1</v>
      </c>
      <c r="H607" s="443">
        <v>1</v>
      </c>
      <c r="J607" s="440">
        <v>0.94</v>
      </c>
      <c r="K607" s="440">
        <v>1.01</v>
      </c>
      <c r="L607" s="443">
        <v>1</v>
      </c>
      <c r="N607" s="444">
        <f t="shared" si="9"/>
        <v>-5.3191489361702038E-2</v>
      </c>
      <c r="O607" s="444">
        <f t="shared" si="9"/>
        <v>-9.9009900990099098E-3</v>
      </c>
      <c r="P607" s="444">
        <f t="shared" si="9"/>
        <v>0</v>
      </c>
    </row>
    <row r="608" spans="2:16" x14ac:dyDescent="0.2">
      <c r="B608" s="440" t="s">
        <v>1791</v>
      </c>
      <c r="C608" s="440" t="s">
        <v>1804</v>
      </c>
      <c r="D608" s="440" t="s">
        <v>1806</v>
      </c>
      <c r="E608" s="440">
        <v>90</v>
      </c>
      <c r="F608" s="440">
        <v>0.89</v>
      </c>
      <c r="G608" s="443">
        <v>1</v>
      </c>
      <c r="H608" s="443">
        <v>1</v>
      </c>
      <c r="J608" s="440">
        <v>0.94</v>
      </c>
      <c r="K608" s="440">
        <v>1.01</v>
      </c>
      <c r="L608" s="443">
        <v>1</v>
      </c>
      <c r="N608" s="444">
        <f t="shared" si="9"/>
        <v>-5.3191489361702038E-2</v>
      </c>
      <c r="O608" s="444">
        <f t="shared" si="9"/>
        <v>-9.9009900990099098E-3</v>
      </c>
      <c r="P608" s="444">
        <f t="shared" si="9"/>
        <v>0</v>
      </c>
    </row>
    <row r="609" spans="2:16" x14ac:dyDescent="0.2">
      <c r="B609" s="440" t="s">
        <v>1791</v>
      </c>
      <c r="C609" s="440" t="s">
        <v>1804</v>
      </c>
      <c r="D609" s="440" t="s">
        <v>1806</v>
      </c>
      <c r="E609" s="440">
        <v>91</v>
      </c>
      <c r="F609" s="440">
        <v>0.89</v>
      </c>
      <c r="G609" s="443">
        <v>1</v>
      </c>
      <c r="H609" s="443">
        <v>1</v>
      </c>
      <c r="J609" s="440">
        <v>0.94</v>
      </c>
      <c r="K609" s="440">
        <v>1.01</v>
      </c>
      <c r="L609" s="443">
        <v>1</v>
      </c>
      <c r="N609" s="444">
        <f t="shared" si="9"/>
        <v>-5.3191489361702038E-2</v>
      </c>
      <c r="O609" s="444">
        <f t="shared" si="9"/>
        <v>-9.9009900990099098E-3</v>
      </c>
      <c r="P609" s="444">
        <f t="shared" si="9"/>
        <v>0</v>
      </c>
    </row>
    <row r="610" spans="2:16" x14ac:dyDescent="0.2">
      <c r="B610" s="440" t="s">
        <v>1791</v>
      </c>
      <c r="C610" s="440" t="s">
        <v>1804</v>
      </c>
      <c r="D610" s="440" t="s">
        <v>1806</v>
      </c>
      <c r="E610" s="440">
        <v>92</v>
      </c>
      <c r="F610" s="440">
        <v>0.89</v>
      </c>
      <c r="G610" s="443">
        <v>1</v>
      </c>
      <c r="H610" s="443">
        <v>1</v>
      </c>
      <c r="J610" s="440">
        <v>0.94</v>
      </c>
      <c r="K610" s="440">
        <v>1.01</v>
      </c>
      <c r="L610" s="443">
        <v>1</v>
      </c>
      <c r="N610" s="444">
        <f t="shared" si="9"/>
        <v>-5.3191489361702038E-2</v>
      </c>
      <c r="O610" s="444">
        <f t="shared" si="9"/>
        <v>-9.9009900990099098E-3</v>
      </c>
      <c r="P610" s="444">
        <f t="shared" si="9"/>
        <v>0</v>
      </c>
    </row>
    <row r="611" spans="2:16" x14ac:dyDescent="0.2">
      <c r="B611" s="440" t="s">
        <v>1791</v>
      </c>
      <c r="C611" s="440" t="s">
        <v>1804</v>
      </c>
      <c r="D611" s="440" t="s">
        <v>1806</v>
      </c>
      <c r="E611" s="440">
        <v>93</v>
      </c>
      <c r="F611" s="440">
        <v>0.89</v>
      </c>
      <c r="G611" s="443">
        <v>1</v>
      </c>
      <c r="H611" s="443">
        <v>1</v>
      </c>
      <c r="J611" s="440">
        <v>0.94</v>
      </c>
      <c r="K611" s="440">
        <v>1.01</v>
      </c>
      <c r="L611" s="443">
        <v>1</v>
      </c>
      <c r="N611" s="444">
        <f t="shared" si="9"/>
        <v>-5.3191489361702038E-2</v>
      </c>
      <c r="O611" s="444">
        <f t="shared" si="9"/>
        <v>-9.9009900990099098E-3</v>
      </c>
      <c r="P611" s="444">
        <f t="shared" si="9"/>
        <v>0</v>
      </c>
    </row>
    <row r="612" spans="2:16" x14ac:dyDescent="0.2">
      <c r="B612" s="440" t="s">
        <v>1791</v>
      </c>
      <c r="C612" s="440" t="s">
        <v>1804</v>
      </c>
      <c r="D612" s="440" t="s">
        <v>1806</v>
      </c>
      <c r="E612" s="440">
        <v>94</v>
      </c>
      <c r="F612" s="440">
        <v>0.89</v>
      </c>
      <c r="G612" s="443">
        <v>1</v>
      </c>
      <c r="H612" s="443">
        <v>1</v>
      </c>
      <c r="J612" s="440">
        <v>0.94</v>
      </c>
      <c r="K612" s="440">
        <v>1.01</v>
      </c>
      <c r="L612" s="443">
        <v>1</v>
      </c>
      <c r="N612" s="444">
        <f t="shared" si="9"/>
        <v>-5.3191489361702038E-2</v>
      </c>
      <c r="O612" s="444">
        <f t="shared" si="9"/>
        <v>-9.9009900990099098E-3</v>
      </c>
      <c r="P612" s="444">
        <f t="shared" si="9"/>
        <v>0</v>
      </c>
    </row>
    <row r="613" spans="2:16" x14ac:dyDescent="0.2">
      <c r="B613" s="440" t="s">
        <v>1791</v>
      </c>
      <c r="C613" s="440" t="s">
        <v>1804</v>
      </c>
      <c r="D613" s="440" t="s">
        <v>1806</v>
      </c>
      <c r="E613" s="440">
        <v>95</v>
      </c>
      <c r="F613" s="440">
        <v>0.89</v>
      </c>
      <c r="G613" s="443">
        <v>1</v>
      </c>
      <c r="H613" s="443">
        <v>1</v>
      </c>
      <c r="J613" s="440">
        <v>0.94</v>
      </c>
      <c r="K613" s="440">
        <v>1.01</v>
      </c>
      <c r="L613" s="443">
        <v>1</v>
      </c>
      <c r="N613" s="444">
        <f t="shared" si="9"/>
        <v>-5.3191489361702038E-2</v>
      </c>
      <c r="O613" s="444">
        <f t="shared" si="9"/>
        <v>-9.9009900990099098E-3</v>
      </c>
      <c r="P613" s="444">
        <f t="shared" si="9"/>
        <v>0</v>
      </c>
    </row>
    <row r="614" spans="2:16" x14ac:dyDescent="0.2">
      <c r="B614" s="440" t="s">
        <v>1791</v>
      </c>
      <c r="C614" s="440" t="s">
        <v>1804</v>
      </c>
      <c r="D614" s="440" t="s">
        <v>1806</v>
      </c>
      <c r="E614" s="440">
        <v>96</v>
      </c>
      <c r="F614" s="440">
        <v>0.89</v>
      </c>
      <c r="G614" s="443">
        <v>1</v>
      </c>
      <c r="H614" s="443">
        <v>1</v>
      </c>
      <c r="J614" s="440">
        <v>0.94</v>
      </c>
      <c r="K614" s="440">
        <v>1.01</v>
      </c>
      <c r="L614" s="443">
        <v>1</v>
      </c>
      <c r="N614" s="444">
        <f t="shared" si="9"/>
        <v>-5.3191489361702038E-2</v>
      </c>
      <c r="O614" s="444">
        <f t="shared" si="9"/>
        <v>-9.9009900990099098E-3</v>
      </c>
      <c r="P614" s="444">
        <f t="shared" si="9"/>
        <v>0</v>
      </c>
    </row>
    <row r="615" spans="2:16" x14ac:dyDescent="0.2">
      <c r="B615" s="440" t="s">
        <v>1791</v>
      </c>
      <c r="C615" s="440" t="s">
        <v>1804</v>
      </c>
      <c r="D615" s="440" t="s">
        <v>1806</v>
      </c>
      <c r="E615" s="440">
        <v>97</v>
      </c>
      <c r="F615" s="440">
        <v>0.89</v>
      </c>
      <c r="G615" s="443">
        <v>1</v>
      </c>
      <c r="H615" s="443">
        <v>1</v>
      </c>
      <c r="J615" s="440">
        <v>0.94</v>
      </c>
      <c r="K615" s="440">
        <v>1.01</v>
      </c>
      <c r="L615" s="443">
        <v>1</v>
      </c>
      <c r="N615" s="444">
        <f t="shared" si="9"/>
        <v>-5.3191489361702038E-2</v>
      </c>
      <c r="O615" s="444">
        <f t="shared" si="9"/>
        <v>-9.9009900990099098E-3</v>
      </c>
      <c r="P615" s="444">
        <f t="shared" si="9"/>
        <v>0</v>
      </c>
    </row>
    <row r="616" spans="2:16" x14ac:dyDescent="0.2">
      <c r="B616" s="440" t="s">
        <v>1791</v>
      </c>
      <c r="C616" s="440" t="s">
        <v>1804</v>
      </c>
      <c r="D616" s="440" t="s">
        <v>1806</v>
      </c>
      <c r="E616" s="440">
        <v>98</v>
      </c>
      <c r="F616" s="440">
        <v>0.89</v>
      </c>
      <c r="G616" s="443">
        <v>1</v>
      </c>
      <c r="H616" s="443">
        <v>1</v>
      </c>
      <c r="J616" s="440">
        <v>0.94</v>
      </c>
      <c r="K616" s="440">
        <v>1.01</v>
      </c>
      <c r="L616" s="443">
        <v>1</v>
      </c>
      <c r="N616" s="444">
        <f t="shared" si="9"/>
        <v>-5.3191489361702038E-2</v>
      </c>
      <c r="O616" s="444">
        <f t="shared" si="9"/>
        <v>-9.9009900990099098E-3</v>
      </c>
      <c r="P616" s="444">
        <f t="shared" si="9"/>
        <v>0</v>
      </c>
    </row>
    <row r="617" spans="2:16" x14ac:dyDescent="0.2">
      <c r="B617" s="440" t="s">
        <v>1791</v>
      </c>
      <c r="C617" s="440" t="s">
        <v>1804</v>
      </c>
      <c r="D617" s="440" t="s">
        <v>1806</v>
      </c>
      <c r="E617" s="440">
        <v>99</v>
      </c>
      <c r="F617" s="440">
        <v>0.89</v>
      </c>
      <c r="G617" s="443">
        <v>1</v>
      </c>
      <c r="H617" s="443">
        <v>1</v>
      </c>
      <c r="J617" s="440">
        <v>0.94</v>
      </c>
      <c r="K617" s="440">
        <v>1.01</v>
      </c>
      <c r="L617" s="443">
        <v>1</v>
      </c>
      <c r="N617" s="444">
        <f t="shared" si="9"/>
        <v>-5.3191489361702038E-2</v>
      </c>
      <c r="O617" s="444">
        <f t="shared" si="9"/>
        <v>-9.9009900990099098E-3</v>
      </c>
      <c r="P617" s="444">
        <f t="shared" si="9"/>
        <v>0</v>
      </c>
    </row>
    <row r="618" spans="2:16" x14ac:dyDescent="0.2">
      <c r="B618" s="440" t="s">
        <v>1791</v>
      </c>
      <c r="C618" s="440" t="s">
        <v>1804</v>
      </c>
      <c r="D618" s="440" t="s">
        <v>1806</v>
      </c>
      <c r="E618" s="440">
        <v>100</v>
      </c>
      <c r="F618" s="440">
        <v>0.89</v>
      </c>
      <c r="G618" s="443">
        <v>1</v>
      </c>
      <c r="H618" s="443">
        <v>1</v>
      </c>
      <c r="J618" s="440">
        <v>0.94</v>
      </c>
      <c r="K618" s="440">
        <v>1.01</v>
      </c>
      <c r="L618" s="443">
        <v>1</v>
      </c>
      <c r="N618" s="444">
        <f t="shared" si="9"/>
        <v>-5.3191489361702038E-2</v>
      </c>
      <c r="O618" s="444">
        <f t="shared" si="9"/>
        <v>-9.9009900990099098E-3</v>
      </c>
      <c r="P618" s="444">
        <f t="shared" si="9"/>
        <v>0</v>
      </c>
    </row>
  </sheetData>
  <mergeCells count="3">
    <mergeCell ref="F11:H11"/>
    <mergeCell ref="J11:L11"/>
    <mergeCell ref="N11:P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17" t="s">
        <v>1820</v>
      </c>
    </row>
    <row r="2" spans="1:9" x14ac:dyDescent="0.15">
      <c r="A2" s="445" t="s">
        <v>1807</v>
      </c>
      <c r="C2" s="446">
        <f>INTAKE!S57</f>
        <v>0.91</v>
      </c>
      <c r="F2" s="445"/>
    </row>
    <row r="3" spans="1:9" x14ac:dyDescent="0.15">
      <c r="A3" s="445" t="s">
        <v>1808</v>
      </c>
      <c r="C3" s="446">
        <f>ROUND(INTAKE!S52/INTAKE!S51,2)</f>
        <v>0.91</v>
      </c>
    </row>
    <row r="5" spans="1:9" ht="15" x14ac:dyDescent="0.2">
      <c r="A5" s="445" t="s">
        <v>1809</v>
      </c>
      <c r="C5" s="447">
        <f>VLOOKUP($C2,$A$15:$B$115,2,TRUE)</f>
        <v>1</v>
      </c>
      <c r="D5" s="448"/>
    </row>
    <row r="6" spans="1:9" ht="15" x14ac:dyDescent="0.2">
      <c r="A6" s="445" t="s">
        <v>1810</v>
      </c>
      <c r="C6" s="447">
        <f>VLOOKUP($C3,$A$15:$B$115,2,TRUE)</f>
        <v>1</v>
      </c>
      <c r="D6" s="448"/>
    </row>
    <row r="7" spans="1:9" ht="15" x14ac:dyDescent="0.2">
      <c r="A7" s="445"/>
      <c r="C7" s="449"/>
      <c r="D7" s="449"/>
      <c r="H7" s="201"/>
      <c r="I7" s="201"/>
    </row>
    <row r="8" spans="1:9" x14ac:dyDescent="0.15">
      <c r="A8" s="445" t="s">
        <v>1811</v>
      </c>
      <c r="C8" s="450" t="s">
        <v>1812</v>
      </c>
      <c r="D8" s="450" t="s">
        <v>1813</v>
      </c>
      <c r="G8" s="451" t="s">
        <v>1814</v>
      </c>
    </row>
    <row r="9" spans="1:9" ht="15" x14ac:dyDescent="0.2">
      <c r="A9" s="445" t="s">
        <v>1815</v>
      </c>
      <c r="C9" s="452">
        <f>IF(CALC!D15&gt;0,MAX($I$14,((1/3)*$C$6+(2/3)*$C$5)/$C$5),((1/3)*$C$6+(2/3)*$C$5)/$C$5)</f>
        <v>1</v>
      </c>
      <c r="D9" s="453">
        <f>MAX(1/C9,'PART ADJ'!$F$5)</f>
        <v>1</v>
      </c>
      <c r="E9" s="452"/>
      <c r="G9" s="454">
        <v>0</v>
      </c>
      <c r="H9" s="455">
        <v>0.68</v>
      </c>
      <c r="I9" s="456">
        <v>1.02</v>
      </c>
    </row>
    <row r="10" spans="1:9" ht="15" x14ac:dyDescent="0.2">
      <c r="A10" s="445" t="s">
        <v>1816</v>
      </c>
      <c r="C10" s="452">
        <f>MAX(1,((1/8)*$C$6+(7/8)*$C$5)/$C$5)</f>
        <v>1</v>
      </c>
      <c r="D10" s="453">
        <f>MAX(1/C10,'PART ADJ'!$F$6)</f>
        <v>1</v>
      </c>
      <c r="E10" s="452"/>
      <c r="G10" s="457">
        <v>0.69</v>
      </c>
      <c r="H10" s="458">
        <v>0.73</v>
      </c>
      <c r="I10" s="459">
        <v>1.01</v>
      </c>
    </row>
    <row r="11" spans="1:9" ht="15" x14ac:dyDescent="0.2">
      <c r="G11" s="460">
        <v>0.74</v>
      </c>
      <c r="H11" s="461">
        <v>1</v>
      </c>
      <c r="I11" s="462">
        <v>1</v>
      </c>
    </row>
    <row r="13" spans="1:9" x14ac:dyDescent="0.15">
      <c r="G13" s="190" t="str">
        <f>A3</f>
        <v>Anthem Participation based on Net Eligibles</v>
      </c>
    </row>
    <row r="14" spans="1:9" ht="27" x14ac:dyDescent="0.2">
      <c r="A14" s="463" t="s">
        <v>1817</v>
      </c>
      <c r="B14" s="464" t="s">
        <v>1818</v>
      </c>
      <c r="G14" s="465">
        <f>C3</f>
        <v>0.91</v>
      </c>
      <c r="H14" s="466"/>
      <c r="I14" s="467">
        <f>IF(G14&lt;=H9,I9,IF(AND(G14&lt;=H10,G14&gt;=G10),I10,IF(AND(G14&lt;=H11,G14&gt;=G11),I11,"error")))</f>
        <v>1</v>
      </c>
    </row>
    <row r="15" spans="1:9" ht="13.5" customHeight="1" x14ac:dyDescent="0.15">
      <c r="A15" s="468">
        <v>0</v>
      </c>
      <c r="B15" s="469">
        <v>2.5</v>
      </c>
      <c r="F15" s="452"/>
    </row>
    <row r="16" spans="1:9" ht="13.5" customHeight="1" x14ac:dyDescent="0.15">
      <c r="A16" s="470">
        <v>0.01</v>
      </c>
      <c r="B16" s="471">
        <v>2.4</v>
      </c>
      <c r="D16" s="472"/>
      <c r="E16" s="472"/>
      <c r="F16" s="452"/>
      <c r="I16" s="473"/>
    </row>
    <row r="17" spans="1:8" ht="13.5" customHeight="1" x14ac:dyDescent="0.15">
      <c r="A17" s="470">
        <v>0.02</v>
      </c>
      <c r="B17" s="471">
        <v>2.2999999999999998</v>
      </c>
      <c r="D17" s="474"/>
      <c r="E17" s="474"/>
      <c r="F17" s="452"/>
      <c r="G17" s="474"/>
      <c r="H17" s="474"/>
    </row>
    <row r="18" spans="1:8" ht="13.5" customHeight="1" x14ac:dyDescent="0.15">
      <c r="A18" s="470">
        <v>0.03</v>
      </c>
      <c r="B18" s="471">
        <v>2.2000000000000002</v>
      </c>
      <c r="D18" s="474"/>
      <c r="E18" s="474"/>
      <c r="F18" s="452"/>
    </row>
    <row r="19" spans="1:8" ht="13.5" customHeight="1" x14ac:dyDescent="0.15">
      <c r="A19" s="470">
        <v>0.04</v>
      </c>
      <c r="B19" s="471">
        <v>2.15</v>
      </c>
      <c r="D19" s="474"/>
      <c r="E19" s="474"/>
      <c r="F19" s="452"/>
    </row>
    <row r="20" spans="1:8" ht="13.5" customHeight="1" x14ac:dyDescent="0.15">
      <c r="A20" s="470">
        <v>0.05</v>
      </c>
      <c r="B20" s="471">
        <v>2.1</v>
      </c>
      <c r="D20" s="474"/>
      <c r="E20" s="474"/>
      <c r="F20" s="452"/>
    </row>
    <row r="21" spans="1:8" ht="13.5" customHeight="1" x14ac:dyDescent="0.15">
      <c r="A21" s="470">
        <v>0.06</v>
      </c>
      <c r="B21" s="471">
        <v>2.0499999999999998</v>
      </c>
      <c r="D21" s="474"/>
      <c r="E21" s="474"/>
      <c r="F21" s="452"/>
    </row>
    <row r="22" spans="1:8" ht="13.5" customHeight="1" x14ac:dyDescent="0.15">
      <c r="A22" s="470">
        <v>7.0000000000000007E-2</v>
      </c>
      <c r="B22" s="471">
        <v>2</v>
      </c>
      <c r="D22" s="474"/>
      <c r="E22" s="474"/>
      <c r="F22" s="452"/>
    </row>
    <row r="23" spans="1:8" ht="13.5" customHeight="1" x14ac:dyDescent="0.15">
      <c r="A23" s="470">
        <v>0.08</v>
      </c>
      <c r="B23" s="471">
        <v>1.95</v>
      </c>
      <c r="D23" s="474"/>
      <c r="E23" s="474"/>
      <c r="F23" s="452"/>
    </row>
    <row r="24" spans="1:8" ht="13.5" customHeight="1" x14ac:dyDescent="0.15">
      <c r="A24" s="470">
        <v>0.09</v>
      </c>
      <c r="B24" s="471">
        <v>1.9</v>
      </c>
      <c r="D24" s="474"/>
      <c r="E24" s="474"/>
      <c r="F24" s="452"/>
    </row>
    <row r="25" spans="1:8" ht="13.5" customHeight="1" x14ac:dyDescent="0.15">
      <c r="A25" s="470">
        <v>0.1</v>
      </c>
      <c r="B25" s="471">
        <v>1.85</v>
      </c>
      <c r="D25" s="474"/>
      <c r="E25" s="474"/>
      <c r="F25" s="452"/>
    </row>
    <row r="26" spans="1:8" ht="13.5" customHeight="1" x14ac:dyDescent="0.15">
      <c r="A26" s="470">
        <v>0.11</v>
      </c>
      <c r="B26" s="471">
        <v>1.8</v>
      </c>
      <c r="D26" s="474"/>
      <c r="E26" s="474"/>
      <c r="F26" s="452"/>
    </row>
    <row r="27" spans="1:8" ht="13.5" customHeight="1" x14ac:dyDescent="0.15">
      <c r="A27" s="470">
        <v>0.12</v>
      </c>
      <c r="B27" s="471">
        <v>1.76</v>
      </c>
      <c r="D27" s="474"/>
      <c r="E27" s="474"/>
      <c r="F27" s="452"/>
    </row>
    <row r="28" spans="1:8" ht="13.5" customHeight="1" x14ac:dyDescent="0.15">
      <c r="A28" s="470">
        <v>0.13</v>
      </c>
      <c r="B28" s="471">
        <v>1.72</v>
      </c>
      <c r="D28" s="474"/>
      <c r="E28" s="474"/>
      <c r="F28" s="452"/>
    </row>
    <row r="29" spans="1:8" ht="13.5" customHeight="1" x14ac:dyDescent="0.15">
      <c r="A29" s="470">
        <v>0.14000000000000001</v>
      </c>
      <c r="B29" s="471">
        <v>1.68</v>
      </c>
      <c r="D29" s="474"/>
      <c r="E29" s="474"/>
      <c r="F29" s="452"/>
    </row>
    <row r="30" spans="1:8" ht="13.5" customHeight="1" x14ac:dyDescent="0.15">
      <c r="A30" s="470">
        <v>0.15</v>
      </c>
      <c r="B30" s="471">
        <v>1.64</v>
      </c>
      <c r="D30" s="474"/>
      <c r="E30" s="474"/>
      <c r="F30" s="452"/>
    </row>
    <row r="31" spans="1:8" ht="13.5" customHeight="1" x14ac:dyDescent="0.15">
      <c r="A31" s="470">
        <v>0.16</v>
      </c>
      <c r="B31" s="471">
        <v>1.61</v>
      </c>
      <c r="D31" s="474"/>
      <c r="E31" s="474"/>
      <c r="F31" s="452"/>
    </row>
    <row r="32" spans="1:8" ht="13.5" customHeight="1" x14ac:dyDescent="0.15">
      <c r="A32" s="470">
        <v>0.17</v>
      </c>
      <c r="B32" s="471">
        <v>1.58</v>
      </c>
      <c r="D32" s="474"/>
      <c r="E32" s="474"/>
      <c r="F32" s="452"/>
    </row>
    <row r="33" spans="1:6" ht="13.5" customHeight="1" x14ac:dyDescent="0.15">
      <c r="A33" s="470">
        <v>0.18</v>
      </c>
      <c r="B33" s="471">
        <v>1.55</v>
      </c>
      <c r="D33" s="474"/>
      <c r="E33" s="474"/>
      <c r="F33" s="452"/>
    </row>
    <row r="34" spans="1:6" ht="13.5" customHeight="1" x14ac:dyDescent="0.15">
      <c r="A34" s="470">
        <v>0.19</v>
      </c>
      <c r="B34" s="471">
        <v>1.52</v>
      </c>
      <c r="D34" s="474"/>
      <c r="E34" s="474"/>
      <c r="F34" s="452"/>
    </row>
    <row r="35" spans="1:6" ht="13.5" customHeight="1" x14ac:dyDescent="0.15">
      <c r="A35" s="470">
        <v>0.2</v>
      </c>
      <c r="B35" s="471">
        <v>1.49</v>
      </c>
      <c r="D35" s="474"/>
      <c r="E35" s="474"/>
      <c r="F35" s="452"/>
    </row>
    <row r="36" spans="1:6" ht="13.5" customHeight="1" x14ac:dyDescent="0.15">
      <c r="A36" s="470">
        <v>0.21</v>
      </c>
      <c r="B36" s="471">
        <v>1.46</v>
      </c>
      <c r="D36" s="474"/>
      <c r="E36" s="474"/>
      <c r="F36" s="452"/>
    </row>
    <row r="37" spans="1:6" ht="13.5" customHeight="1" x14ac:dyDescent="0.15">
      <c r="A37" s="470">
        <v>0.22</v>
      </c>
      <c r="B37" s="471">
        <v>1.43</v>
      </c>
      <c r="D37" s="474"/>
      <c r="E37" s="474"/>
      <c r="F37" s="452"/>
    </row>
    <row r="38" spans="1:6" ht="13.5" customHeight="1" x14ac:dyDescent="0.15">
      <c r="A38" s="470">
        <v>0.23</v>
      </c>
      <c r="B38" s="471">
        <v>1.4</v>
      </c>
      <c r="D38" s="474"/>
      <c r="E38" s="474"/>
      <c r="F38" s="452"/>
    </row>
    <row r="39" spans="1:6" ht="13.5" customHeight="1" x14ac:dyDescent="0.15">
      <c r="A39" s="470">
        <v>0.24</v>
      </c>
      <c r="B39" s="471">
        <v>1.38</v>
      </c>
      <c r="D39" s="474"/>
      <c r="E39" s="474"/>
      <c r="F39" s="452"/>
    </row>
    <row r="40" spans="1:6" x14ac:dyDescent="0.15">
      <c r="A40" s="470">
        <v>0.25</v>
      </c>
      <c r="B40" s="471">
        <v>1.36</v>
      </c>
      <c r="D40" s="474"/>
      <c r="E40" s="474"/>
      <c r="F40" s="452"/>
    </row>
    <row r="41" spans="1:6" x14ac:dyDescent="0.15">
      <c r="A41" s="470">
        <v>0.26</v>
      </c>
      <c r="B41" s="471">
        <v>1.34</v>
      </c>
      <c r="D41" s="474"/>
      <c r="E41" s="474"/>
      <c r="F41" s="452"/>
    </row>
    <row r="42" spans="1:6" x14ac:dyDescent="0.15">
      <c r="A42" s="470">
        <v>0.27</v>
      </c>
      <c r="B42" s="471">
        <v>1.32</v>
      </c>
      <c r="D42" s="474"/>
      <c r="E42" s="474"/>
      <c r="F42" s="452"/>
    </row>
    <row r="43" spans="1:6" x14ac:dyDescent="0.15">
      <c r="A43" s="470">
        <v>0.28000000000000003</v>
      </c>
      <c r="B43" s="471">
        <v>1.3</v>
      </c>
      <c r="D43" s="474"/>
      <c r="E43" s="474"/>
      <c r="F43" s="452"/>
    </row>
    <row r="44" spans="1:6" x14ac:dyDescent="0.15">
      <c r="A44" s="470">
        <v>0.28999999999999998</v>
      </c>
      <c r="B44" s="471">
        <v>1.28</v>
      </c>
      <c r="D44" s="474"/>
      <c r="E44" s="474"/>
      <c r="F44" s="452"/>
    </row>
    <row r="45" spans="1:6" x14ac:dyDescent="0.15">
      <c r="A45" s="470">
        <v>0.3</v>
      </c>
      <c r="B45" s="471">
        <v>1.27</v>
      </c>
      <c r="D45" s="474"/>
      <c r="E45" s="474"/>
      <c r="F45" s="452"/>
    </row>
    <row r="46" spans="1:6" x14ac:dyDescent="0.15">
      <c r="A46" s="470">
        <v>0.31</v>
      </c>
      <c r="B46" s="471">
        <v>1.26</v>
      </c>
      <c r="D46" s="474"/>
      <c r="E46" s="474"/>
      <c r="F46" s="452"/>
    </row>
    <row r="47" spans="1:6" x14ac:dyDescent="0.15">
      <c r="A47" s="470">
        <v>0.32</v>
      </c>
      <c r="B47" s="471">
        <v>1.25</v>
      </c>
      <c r="D47" s="474"/>
      <c r="E47" s="474"/>
      <c r="F47" s="452"/>
    </row>
    <row r="48" spans="1:6" x14ac:dyDescent="0.15">
      <c r="A48" s="470">
        <v>0.33</v>
      </c>
      <c r="B48" s="471">
        <v>1.24</v>
      </c>
      <c r="D48" s="474"/>
      <c r="E48" s="474"/>
      <c r="F48" s="452"/>
    </row>
    <row r="49" spans="1:6" x14ac:dyDescent="0.15">
      <c r="A49" s="470">
        <v>0.34</v>
      </c>
      <c r="B49" s="471">
        <v>1.23</v>
      </c>
      <c r="D49" s="474"/>
      <c r="E49" s="474"/>
      <c r="F49" s="452"/>
    </row>
    <row r="50" spans="1:6" x14ac:dyDescent="0.15">
      <c r="A50" s="470">
        <v>0.35</v>
      </c>
      <c r="B50" s="471">
        <v>1.22</v>
      </c>
      <c r="D50" s="474"/>
      <c r="E50" s="474"/>
      <c r="F50" s="452"/>
    </row>
    <row r="51" spans="1:6" x14ac:dyDescent="0.15">
      <c r="A51" s="470">
        <v>0.36</v>
      </c>
      <c r="B51" s="471">
        <v>1.21</v>
      </c>
      <c r="D51" s="474"/>
      <c r="E51" s="474"/>
      <c r="F51" s="452"/>
    </row>
    <row r="52" spans="1:6" x14ac:dyDescent="0.15">
      <c r="A52" s="470">
        <v>0.37</v>
      </c>
      <c r="B52" s="471">
        <v>1.2</v>
      </c>
      <c r="D52" s="474"/>
      <c r="E52" s="474"/>
      <c r="F52" s="452"/>
    </row>
    <row r="53" spans="1:6" x14ac:dyDescent="0.15">
      <c r="A53" s="470">
        <v>0.38</v>
      </c>
      <c r="B53" s="471">
        <v>1.19</v>
      </c>
      <c r="D53" s="474"/>
      <c r="E53" s="474"/>
      <c r="F53" s="452"/>
    </row>
    <row r="54" spans="1:6" x14ac:dyDescent="0.15">
      <c r="A54" s="470">
        <v>0.39</v>
      </c>
      <c r="B54" s="471">
        <v>1.18</v>
      </c>
      <c r="D54" s="474"/>
      <c r="E54" s="474"/>
      <c r="F54" s="452"/>
    </row>
    <row r="55" spans="1:6" x14ac:dyDescent="0.15">
      <c r="A55" s="470">
        <v>0.4</v>
      </c>
      <c r="B55" s="471">
        <v>1.17</v>
      </c>
      <c r="D55" s="474"/>
      <c r="E55" s="474"/>
      <c r="F55" s="452"/>
    </row>
    <row r="56" spans="1:6" x14ac:dyDescent="0.15">
      <c r="A56" s="470">
        <v>0.41</v>
      </c>
      <c r="B56" s="471">
        <v>1.1599999999999999</v>
      </c>
      <c r="D56" s="474"/>
      <c r="E56" s="474"/>
      <c r="F56" s="452"/>
    </row>
    <row r="57" spans="1:6" x14ac:dyDescent="0.15">
      <c r="A57" s="470">
        <v>0.42</v>
      </c>
      <c r="B57" s="471">
        <v>1.1499999999999999</v>
      </c>
      <c r="D57" s="474"/>
      <c r="E57" s="474"/>
      <c r="F57" s="452"/>
    </row>
    <row r="58" spans="1:6" x14ac:dyDescent="0.15">
      <c r="A58" s="470">
        <v>0.43</v>
      </c>
      <c r="B58" s="471">
        <v>1.1399999999999999</v>
      </c>
      <c r="D58" s="474"/>
      <c r="E58" s="474"/>
      <c r="F58" s="452"/>
    </row>
    <row r="59" spans="1:6" x14ac:dyDescent="0.15">
      <c r="A59" s="470">
        <v>0.44</v>
      </c>
      <c r="B59" s="471">
        <v>1.1299999999999999</v>
      </c>
      <c r="D59" s="474"/>
      <c r="E59" s="474"/>
      <c r="F59" s="452"/>
    </row>
    <row r="60" spans="1:6" x14ac:dyDescent="0.15">
      <c r="A60" s="470">
        <v>0.45</v>
      </c>
      <c r="B60" s="471">
        <v>1.1200000000000001</v>
      </c>
      <c r="D60" s="474"/>
      <c r="E60" s="474"/>
      <c r="F60" s="452"/>
    </row>
    <row r="61" spans="1:6" x14ac:dyDescent="0.15">
      <c r="A61" s="470">
        <v>0.46</v>
      </c>
      <c r="B61" s="471">
        <v>1.1100000000000001</v>
      </c>
      <c r="D61" s="474"/>
      <c r="E61" s="474"/>
      <c r="F61" s="452"/>
    </row>
    <row r="62" spans="1:6" x14ac:dyDescent="0.15">
      <c r="A62" s="470">
        <v>0.47</v>
      </c>
      <c r="B62" s="471">
        <v>1.1000000000000001</v>
      </c>
      <c r="D62" s="474"/>
      <c r="E62" s="474"/>
      <c r="F62" s="452"/>
    </row>
    <row r="63" spans="1:6" x14ac:dyDescent="0.15">
      <c r="A63" s="470">
        <v>0.48</v>
      </c>
      <c r="B63" s="471">
        <v>1.0900000000000001</v>
      </c>
      <c r="D63" s="474"/>
      <c r="E63" s="474"/>
      <c r="F63" s="452"/>
    </row>
    <row r="64" spans="1:6" x14ac:dyDescent="0.15">
      <c r="A64" s="470">
        <v>0.49</v>
      </c>
      <c r="B64" s="471">
        <v>1.0900000000000001</v>
      </c>
      <c r="D64" s="474"/>
      <c r="E64" s="474"/>
      <c r="F64" s="452"/>
    </row>
    <row r="65" spans="1:6" x14ac:dyDescent="0.15">
      <c r="A65" s="470">
        <v>0.5</v>
      </c>
      <c r="B65" s="471">
        <v>1.08</v>
      </c>
      <c r="D65" s="474"/>
      <c r="E65" s="474"/>
      <c r="F65" s="452"/>
    </row>
    <row r="66" spans="1:6" x14ac:dyDescent="0.15">
      <c r="A66" s="470">
        <v>0.51</v>
      </c>
      <c r="B66" s="471">
        <v>1.08</v>
      </c>
      <c r="D66" s="474"/>
      <c r="E66" s="474"/>
      <c r="F66" s="452"/>
    </row>
    <row r="67" spans="1:6" x14ac:dyDescent="0.15">
      <c r="A67" s="470">
        <v>0.52</v>
      </c>
      <c r="B67" s="471">
        <v>1.07</v>
      </c>
      <c r="D67" s="474"/>
      <c r="E67" s="474"/>
      <c r="F67" s="452"/>
    </row>
    <row r="68" spans="1:6" x14ac:dyDescent="0.15">
      <c r="A68" s="470">
        <v>0.53</v>
      </c>
      <c r="B68" s="471">
        <v>1.07</v>
      </c>
      <c r="D68" s="474"/>
      <c r="E68" s="474"/>
      <c r="F68" s="452"/>
    </row>
    <row r="69" spans="1:6" x14ac:dyDescent="0.15">
      <c r="A69" s="470">
        <v>0.54</v>
      </c>
      <c r="B69" s="471">
        <v>1.06</v>
      </c>
      <c r="D69" s="474"/>
      <c r="E69" s="474"/>
      <c r="F69" s="452"/>
    </row>
    <row r="70" spans="1:6" x14ac:dyDescent="0.15">
      <c r="A70" s="470">
        <v>0.55000000000000004</v>
      </c>
      <c r="B70" s="471">
        <v>1.06</v>
      </c>
      <c r="D70" s="474"/>
      <c r="E70" s="474"/>
      <c r="F70" s="452"/>
    </row>
    <row r="71" spans="1:6" x14ac:dyDescent="0.15">
      <c r="A71" s="470">
        <v>0.56000000000000005</v>
      </c>
      <c r="B71" s="471">
        <v>1.05</v>
      </c>
      <c r="D71" s="474"/>
      <c r="E71" s="474"/>
      <c r="F71" s="452"/>
    </row>
    <row r="72" spans="1:6" x14ac:dyDescent="0.15">
      <c r="A72" s="470">
        <v>0.56999999999999995</v>
      </c>
      <c r="B72" s="471">
        <v>1.05</v>
      </c>
      <c r="D72" s="474"/>
      <c r="E72" s="474"/>
      <c r="F72" s="452"/>
    </row>
    <row r="73" spans="1:6" x14ac:dyDescent="0.15">
      <c r="A73" s="470">
        <v>0.57999999999999996</v>
      </c>
      <c r="B73" s="471">
        <v>1.05</v>
      </c>
      <c r="D73" s="474"/>
      <c r="E73" s="474"/>
      <c r="F73" s="452"/>
    </row>
    <row r="74" spans="1:6" x14ac:dyDescent="0.15">
      <c r="A74" s="470">
        <v>0.59</v>
      </c>
      <c r="B74" s="471">
        <v>1.04</v>
      </c>
      <c r="D74" s="474"/>
      <c r="E74" s="474"/>
      <c r="F74" s="452"/>
    </row>
    <row r="75" spans="1:6" x14ac:dyDescent="0.15">
      <c r="A75" s="470">
        <v>0.6</v>
      </c>
      <c r="B75" s="471">
        <v>1.04</v>
      </c>
      <c r="D75" s="474"/>
      <c r="E75" s="474"/>
      <c r="F75" s="452"/>
    </row>
    <row r="76" spans="1:6" x14ac:dyDescent="0.15">
      <c r="A76" s="470">
        <v>0.61</v>
      </c>
      <c r="B76" s="471">
        <v>1.04</v>
      </c>
      <c r="D76" s="474"/>
      <c r="E76" s="474"/>
      <c r="F76" s="452"/>
    </row>
    <row r="77" spans="1:6" x14ac:dyDescent="0.15">
      <c r="A77" s="470">
        <v>0.62</v>
      </c>
      <c r="B77" s="471">
        <v>1.03</v>
      </c>
      <c r="D77" s="474"/>
      <c r="E77" s="474"/>
      <c r="F77" s="452"/>
    </row>
    <row r="78" spans="1:6" x14ac:dyDescent="0.15">
      <c r="A78" s="470">
        <v>0.63</v>
      </c>
      <c r="B78" s="471">
        <v>1.03</v>
      </c>
      <c r="D78" s="474"/>
      <c r="E78" s="474"/>
      <c r="F78" s="452"/>
    </row>
    <row r="79" spans="1:6" x14ac:dyDescent="0.15">
      <c r="A79" s="470">
        <v>0.64</v>
      </c>
      <c r="B79" s="471">
        <v>1.03</v>
      </c>
      <c r="D79" s="474"/>
      <c r="E79" s="474"/>
      <c r="F79" s="452"/>
    </row>
    <row r="80" spans="1:6" x14ac:dyDescent="0.15">
      <c r="A80" s="470">
        <v>0.65</v>
      </c>
      <c r="B80" s="471">
        <v>1.02</v>
      </c>
      <c r="D80" s="474"/>
      <c r="E80" s="474"/>
      <c r="F80" s="452"/>
    </row>
    <row r="81" spans="1:6" x14ac:dyDescent="0.15">
      <c r="A81" s="470">
        <v>0.66</v>
      </c>
      <c r="B81" s="471">
        <v>1.02</v>
      </c>
      <c r="D81" s="474"/>
      <c r="E81" s="474"/>
      <c r="F81" s="452"/>
    </row>
    <row r="82" spans="1:6" x14ac:dyDescent="0.15">
      <c r="A82" s="470">
        <v>0.67</v>
      </c>
      <c r="B82" s="471">
        <v>1.02</v>
      </c>
      <c r="D82" s="474"/>
      <c r="E82" s="474"/>
      <c r="F82" s="452"/>
    </row>
    <row r="83" spans="1:6" x14ac:dyDescent="0.15">
      <c r="A83" s="470">
        <v>0.68</v>
      </c>
      <c r="B83" s="471">
        <v>1.02</v>
      </c>
      <c r="D83" s="474"/>
      <c r="E83" s="474"/>
      <c r="F83" s="452"/>
    </row>
    <row r="84" spans="1:6" x14ac:dyDescent="0.15">
      <c r="A84" s="470">
        <v>0.69</v>
      </c>
      <c r="B84" s="471">
        <v>1.01</v>
      </c>
      <c r="D84" s="474"/>
      <c r="E84" s="474"/>
      <c r="F84" s="452"/>
    </row>
    <row r="85" spans="1:6" x14ac:dyDescent="0.15">
      <c r="A85" s="470">
        <v>0.7</v>
      </c>
      <c r="B85" s="471">
        <v>1.01</v>
      </c>
      <c r="D85" s="474"/>
      <c r="E85" s="474"/>
      <c r="F85" s="452"/>
    </row>
    <row r="86" spans="1:6" x14ac:dyDescent="0.15">
      <c r="A86" s="470">
        <v>0.71</v>
      </c>
      <c r="B86" s="471">
        <v>1.01</v>
      </c>
      <c r="D86" s="474"/>
      <c r="E86" s="474"/>
      <c r="F86" s="452"/>
    </row>
    <row r="87" spans="1:6" x14ac:dyDescent="0.15">
      <c r="A87" s="470">
        <v>0.72</v>
      </c>
      <c r="B87" s="471">
        <v>1.01</v>
      </c>
      <c r="D87" s="474"/>
      <c r="E87" s="474"/>
      <c r="F87" s="452"/>
    </row>
    <row r="88" spans="1:6" x14ac:dyDescent="0.15">
      <c r="A88" s="470">
        <v>0.73</v>
      </c>
      <c r="B88" s="471">
        <v>1.01</v>
      </c>
      <c r="D88" s="474"/>
      <c r="E88" s="474"/>
      <c r="F88" s="452"/>
    </row>
    <row r="89" spans="1:6" x14ac:dyDescent="0.15">
      <c r="A89" s="470">
        <v>0.74</v>
      </c>
      <c r="B89" s="471">
        <v>1</v>
      </c>
      <c r="D89" s="474"/>
      <c r="E89" s="474"/>
      <c r="F89" s="452"/>
    </row>
    <row r="90" spans="1:6" x14ac:dyDescent="0.15">
      <c r="A90" s="470">
        <v>0.75</v>
      </c>
      <c r="B90" s="471">
        <v>1</v>
      </c>
      <c r="D90" s="474"/>
      <c r="E90" s="474"/>
      <c r="F90" s="452"/>
    </row>
    <row r="91" spans="1:6" x14ac:dyDescent="0.15">
      <c r="A91" s="470">
        <v>0.76</v>
      </c>
      <c r="B91" s="471">
        <v>1</v>
      </c>
      <c r="D91" s="474"/>
      <c r="E91" s="474"/>
      <c r="F91" s="452"/>
    </row>
    <row r="92" spans="1:6" x14ac:dyDescent="0.15">
      <c r="A92" s="470">
        <v>0.77</v>
      </c>
      <c r="B92" s="471">
        <v>1</v>
      </c>
      <c r="D92" s="474"/>
      <c r="E92" s="474"/>
      <c r="F92" s="452"/>
    </row>
    <row r="93" spans="1:6" x14ac:dyDescent="0.15">
      <c r="A93" s="470">
        <v>0.78</v>
      </c>
      <c r="B93" s="471">
        <v>1</v>
      </c>
      <c r="D93" s="474"/>
      <c r="E93" s="474"/>
      <c r="F93" s="452"/>
    </row>
    <row r="94" spans="1:6" x14ac:dyDescent="0.15">
      <c r="A94" s="470">
        <v>0.79</v>
      </c>
      <c r="B94" s="471">
        <v>1</v>
      </c>
      <c r="D94" s="474"/>
      <c r="E94" s="474"/>
      <c r="F94" s="452"/>
    </row>
    <row r="95" spans="1:6" x14ac:dyDescent="0.15">
      <c r="A95" s="470">
        <v>0.8</v>
      </c>
      <c r="B95" s="471">
        <v>1</v>
      </c>
      <c r="D95" s="474"/>
      <c r="E95" s="474"/>
      <c r="F95" s="452"/>
    </row>
    <row r="96" spans="1:6" x14ac:dyDescent="0.15">
      <c r="A96" s="470">
        <v>0.81</v>
      </c>
      <c r="B96" s="471">
        <v>1</v>
      </c>
      <c r="D96" s="474"/>
      <c r="E96" s="474"/>
      <c r="F96" s="452"/>
    </row>
    <row r="97" spans="1:6" x14ac:dyDescent="0.15">
      <c r="A97" s="470">
        <v>0.82</v>
      </c>
      <c r="B97" s="471">
        <v>1</v>
      </c>
      <c r="D97" s="474"/>
      <c r="E97" s="474"/>
      <c r="F97" s="452"/>
    </row>
    <row r="98" spans="1:6" x14ac:dyDescent="0.15">
      <c r="A98" s="470">
        <v>0.83</v>
      </c>
      <c r="B98" s="471">
        <v>1</v>
      </c>
      <c r="D98" s="474"/>
      <c r="E98" s="474"/>
      <c r="F98" s="452"/>
    </row>
    <row r="99" spans="1:6" x14ac:dyDescent="0.15">
      <c r="A99" s="470">
        <v>0.84</v>
      </c>
      <c r="B99" s="471">
        <v>1</v>
      </c>
      <c r="D99" s="474"/>
      <c r="E99" s="474"/>
      <c r="F99" s="452"/>
    </row>
    <row r="100" spans="1:6" x14ac:dyDescent="0.15">
      <c r="A100" s="470">
        <v>0.85</v>
      </c>
      <c r="B100" s="471">
        <v>1</v>
      </c>
      <c r="D100" s="474"/>
      <c r="E100" s="474"/>
      <c r="F100" s="452"/>
    </row>
    <row r="101" spans="1:6" x14ac:dyDescent="0.15">
      <c r="A101" s="470">
        <v>0.86</v>
      </c>
      <c r="B101" s="471">
        <v>1</v>
      </c>
      <c r="D101" s="474"/>
      <c r="E101" s="474"/>
      <c r="F101" s="452"/>
    </row>
    <row r="102" spans="1:6" x14ac:dyDescent="0.15">
      <c r="A102" s="470">
        <v>0.87</v>
      </c>
      <c r="B102" s="471">
        <v>1</v>
      </c>
      <c r="D102" s="474"/>
      <c r="E102" s="474"/>
      <c r="F102" s="452"/>
    </row>
    <row r="103" spans="1:6" x14ac:dyDescent="0.15">
      <c r="A103" s="470">
        <v>0.88</v>
      </c>
      <c r="B103" s="471">
        <v>1</v>
      </c>
      <c r="D103" s="474"/>
      <c r="E103" s="474"/>
      <c r="F103" s="452"/>
    </row>
    <row r="104" spans="1:6" x14ac:dyDescent="0.15">
      <c r="A104" s="470">
        <v>0.89</v>
      </c>
      <c r="B104" s="471">
        <v>1</v>
      </c>
      <c r="D104" s="474"/>
      <c r="E104" s="474"/>
      <c r="F104" s="452"/>
    </row>
    <row r="105" spans="1:6" x14ac:dyDescent="0.15">
      <c r="A105" s="470">
        <v>0.9</v>
      </c>
      <c r="B105" s="471">
        <v>1</v>
      </c>
      <c r="D105" s="474"/>
      <c r="E105" s="474"/>
      <c r="F105" s="452"/>
    </row>
    <row r="106" spans="1:6" x14ac:dyDescent="0.15">
      <c r="A106" s="470">
        <v>0.91</v>
      </c>
      <c r="B106" s="471">
        <v>1</v>
      </c>
      <c r="D106" s="474"/>
      <c r="E106" s="474"/>
      <c r="F106" s="452"/>
    </row>
    <row r="107" spans="1:6" x14ac:dyDescent="0.15">
      <c r="A107" s="470">
        <v>0.92</v>
      </c>
      <c r="B107" s="471">
        <v>1</v>
      </c>
      <c r="D107" s="474"/>
      <c r="E107" s="474"/>
      <c r="F107" s="452"/>
    </row>
    <row r="108" spans="1:6" x14ac:dyDescent="0.15">
      <c r="A108" s="470">
        <v>0.93</v>
      </c>
      <c r="B108" s="471">
        <v>1</v>
      </c>
      <c r="D108" s="474"/>
      <c r="E108" s="474"/>
      <c r="F108" s="452"/>
    </row>
    <row r="109" spans="1:6" x14ac:dyDescent="0.15">
      <c r="A109" s="470">
        <v>0.94</v>
      </c>
      <c r="B109" s="471">
        <v>1</v>
      </c>
      <c r="D109" s="474"/>
      <c r="E109" s="474"/>
      <c r="F109" s="452"/>
    </row>
    <row r="110" spans="1:6" x14ac:dyDescent="0.15">
      <c r="A110" s="470">
        <v>0.95</v>
      </c>
      <c r="B110" s="471">
        <v>1</v>
      </c>
      <c r="D110" s="474"/>
      <c r="E110" s="474"/>
      <c r="F110" s="452"/>
    </row>
    <row r="111" spans="1:6" x14ac:dyDescent="0.15">
      <c r="A111" s="470">
        <v>0.96</v>
      </c>
      <c r="B111" s="471">
        <v>1</v>
      </c>
      <c r="D111" s="474"/>
      <c r="E111" s="474"/>
      <c r="F111" s="452"/>
    </row>
    <row r="112" spans="1:6" x14ac:dyDescent="0.15">
      <c r="A112" s="470">
        <v>0.97</v>
      </c>
      <c r="B112" s="471">
        <v>1</v>
      </c>
      <c r="D112" s="474"/>
      <c r="E112" s="474"/>
      <c r="F112" s="452"/>
    </row>
    <row r="113" spans="1:6" x14ac:dyDescent="0.15">
      <c r="A113" s="470">
        <v>0.98</v>
      </c>
      <c r="B113" s="471">
        <v>1</v>
      </c>
      <c r="D113" s="474"/>
      <c r="E113" s="474"/>
      <c r="F113" s="452"/>
    </row>
    <row r="114" spans="1:6" x14ac:dyDescent="0.15">
      <c r="A114" s="470">
        <v>0.99</v>
      </c>
      <c r="B114" s="471">
        <v>1</v>
      </c>
      <c r="D114" s="474"/>
      <c r="E114" s="474"/>
      <c r="F114" s="452"/>
    </row>
    <row r="115" spans="1:6" x14ac:dyDescent="0.15">
      <c r="A115" s="475">
        <v>1</v>
      </c>
      <c r="B115" s="476">
        <v>1</v>
      </c>
      <c r="D115" s="474"/>
      <c r="E115" s="474"/>
      <c r="F115" s="452"/>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45" t="s">
        <v>1819</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64"/>
  <sheetViews>
    <sheetView showGridLines="0" zoomScale="85" zoomScaleNormal="85" workbookViewId="0">
      <selection activeCell="T41" sqref="T41"/>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93"/>
      <c r="B1" s="317" t="s">
        <v>1765</v>
      </c>
      <c r="C1" s="287"/>
      <c r="D1" s="287"/>
      <c r="E1" s="287"/>
      <c r="F1" s="287"/>
      <c r="G1" s="287"/>
      <c r="H1" s="287"/>
      <c r="I1" s="287"/>
      <c r="J1" s="287"/>
      <c r="K1" s="287"/>
      <c r="L1" s="317" t="s">
        <v>1766</v>
      </c>
      <c r="M1" s="287"/>
      <c r="N1" s="287"/>
      <c r="O1" s="287"/>
      <c r="P1" s="287"/>
      <c r="Q1" s="287"/>
      <c r="R1" s="287"/>
      <c r="S1" s="287"/>
      <c r="T1" s="287"/>
      <c r="U1" s="287"/>
      <c r="V1" s="289"/>
    </row>
    <row r="2" spans="1:22" ht="23" x14ac:dyDescent="0.2">
      <c r="A2" s="493"/>
      <c r="B2" s="315" t="s">
        <v>1763</v>
      </c>
      <c r="C2" s="316"/>
      <c r="D2" s="316"/>
      <c r="E2" s="316"/>
      <c r="F2" s="316"/>
      <c r="G2" s="287"/>
      <c r="H2" s="287"/>
      <c r="I2" s="287"/>
      <c r="J2" s="287"/>
      <c r="K2" s="287"/>
      <c r="L2" s="315" t="s">
        <v>1763</v>
      </c>
      <c r="M2" s="316"/>
      <c r="N2" s="316"/>
      <c r="O2" s="316"/>
      <c r="P2" s="316"/>
      <c r="Q2" s="287"/>
      <c r="R2" s="287"/>
      <c r="S2" s="287"/>
      <c r="T2" s="287"/>
      <c r="U2" s="287"/>
      <c r="V2" s="289"/>
    </row>
    <row r="3" spans="1:22" s="321" customFormat="1" ht="14.25" customHeight="1" thickBot="1" x14ac:dyDescent="0.25">
      <c r="A3" s="494"/>
      <c r="B3" s="318"/>
      <c r="C3" s="319"/>
      <c r="D3" s="319"/>
      <c r="E3" s="319"/>
      <c r="F3" s="319"/>
      <c r="G3" s="319"/>
      <c r="H3" s="319"/>
      <c r="I3" s="319"/>
      <c r="J3" s="319"/>
      <c r="K3" s="320"/>
      <c r="L3" s="320"/>
      <c r="M3" s="320"/>
      <c r="N3" s="320"/>
      <c r="O3" s="320"/>
      <c r="P3" s="320"/>
      <c r="Q3" s="320"/>
      <c r="R3" s="320"/>
      <c r="S3" s="320"/>
      <c r="T3" s="320"/>
      <c r="U3" s="320"/>
      <c r="V3" s="319"/>
    </row>
    <row r="4" spans="1:22" s="87" customFormat="1" ht="18" customHeight="1" thickTop="1" thickBot="1" x14ac:dyDescent="0.3">
      <c r="A4" s="493"/>
      <c r="B4" s="525" t="s">
        <v>1768</v>
      </c>
      <c r="C4" s="298"/>
      <c r="D4" s="298"/>
      <c r="E4" s="298"/>
      <c r="F4" s="298"/>
      <c r="G4" s="298"/>
      <c r="H4" s="298"/>
      <c r="I4" s="298"/>
      <c r="J4" s="298"/>
      <c r="K4" s="298"/>
      <c r="L4" s="525" t="s">
        <v>1847</v>
      </c>
      <c r="M4" s="298"/>
      <c r="N4" s="298"/>
      <c r="O4" s="298"/>
      <c r="P4" s="298"/>
      <c r="Q4" s="298"/>
      <c r="R4" s="298"/>
      <c r="S4" s="298"/>
      <c r="T4" s="298"/>
      <c r="U4" s="298"/>
      <c r="V4" s="496"/>
    </row>
    <row r="5" spans="1:22" s="87" customFormat="1" ht="14.25" customHeight="1" thickTop="1" x14ac:dyDescent="0.2">
      <c r="A5" s="493"/>
      <c r="B5" s="1095" t="s">
        <v>1843</v>
      </c>
      <c r="C5" s="1096"/>
      <c r="D5" s="1097" t="s">
        <v>1844</v>
      </c>
      <c r="E5" s="1098"/>
      <c r="F5" s="1097" t="s">
        <v>1845</v>
      </c>
      <c r="G5" s="1098"/>
      <c r="H5" s="1097" t="s">
        <v>1846</v>
      </c>
      <c r="I5" s="1098"/>
      <c r="J5" s="1099" t="s">
        <v>1744</v>
      </c>
      <c r="K5" s="1100"/>
      <c r="L5" s="1095" t="s">
        <v>93</v>
      </c>
      <c r="M5" s="1096"/>
      <c r="N5" s="1101" t="s">
        <v>1742</v>
      </c>
      <c r="O5" s="1102"/>
      <c r="P5" s="1101" t="s">
        <v>1742</v>
      </c>
      <c r="Q5" s="1102"/>
      <c r="R5" s="1097" t="s">
        <v>1743</v>
      </c>
      <c r="S5" s="1098"/>
      <c r="T5" s="1099" t="s">
        <v>1744</v>
      </c>
      <c r="U5" s="1100"/>
      <c r="V5" s="496"/>
    </row>
    <row r="6" spans="1:22" s="87" customFormat="1" ht="14.25" customHeight="1" x14ac:dyDescent="0.2">
      <c r="A6" s="493"/>
      <c r="B6" s="253"/>
      <c r="C6" s="254"/>
      <c r="D6" s="389" t="s">
        <v>29</v>
      </c>
      <c r="E6" s="390" t="s">
        <v>94</v>
      </c>
      <c r="F6" s="389" t="s">
        <v>29</v>
      </c>
      <c r="G6" s="390" t="s">
        <v>94</v>
      </c>
      <c r="H6" s="385" t="s">
        <v>29</v>
      </c>
      <c r="I6" s="386" t="s">
        <v>94</v>
      </c>
      <c r="J6" s="295" t="s">
        <v>1746</v>
      </c>
      <c r="K6" s="296" t="s">
        <v>1745</v>
      </c>
      <c r="L6" s="501"/>
      <c r="M6" s="254"/>
      <c r="N6" s="389" t="s">
        <v>29</v>
      </c>
      <c r="O6" s="390" t="s">
        <v>94</v>
      </c>
      <c r="P6" s="389" t="s">
        <v>29</v>
      </c>
      <c r="Q6" s="390" t="s">
        <v>94</v>
      </c>
      <c r="R6" s="385" t="s">
        <v>29</v>
      </c>
      <c r="S6" s="397" t="s">
        <v>94</v>
      </c>
      <c r="T6" s="398" t="s">
        <v>1746</v>
      </c>
      <c r="U6" s="394" t="s">
        <v>1745</v>
      </c>
      <c r="V6" s="496"/>
    </row>
    <row r="7" spans="1:22" s="87" customFormat="1" ht="14.25" customHeight="1" x14ac:dyDescent="0.2">
      <c r="A7" s="493"/>
      <c r="B7" s="240" t="s">
        <v>95</v>
      </c>
      <c r="C7" s="293">
        <f>'DENTAL INTAKE'!F6</f>
        <v>19</v>
      </c>
      <c r="D7" s="391">
        <f>'DENTAL INTAKE'!$G$6</f>
        <v>61.43</v>
      </c>
      <c r="E7" s="378">
        <f t="shared" ref="E7:E10" si="0">C7*D7</f>
        <v>1167.17</v>
      </c>
      <c r="F7" s="391">
        <f>'DENTAL INTAKE'!$H$6</f>
        <v>0</v>
      </c>
      <c r="G7" s="378">
        <f>C7*F7</f>
        <v>0</v>
      </c>
      <c r="H7" s="388">
        <v>48.85</v>
      </c>
      <c r="I7" s="387">
        <f>C7*H7</f>
        <v>928.15</v>
      </c>
      <c r="J7" s="379">
        <f t="shared" ref="J7:J12" si="1">I7-E7</f>
        <v>-239.0200000000001</v>
      </c>
      <c r="K7" s="392">
        <f t="shared" ref="K7:K12" si="2">J7/E7</f>
        <v>-0.20478593521080912</v>
      </c>
      <c r="L7" s="240" t="s">
        <v>95</v>
      </c>
      <c r="M7" s="524">
        <f>'DENTAL INTAKE'!F20</f>
        <v>0</v>
      </c>
      <c r="N7" s="391">
        <f>'DENTAL INTAKE'!G20</f>
        <v>0</v>
      </c>
      <c r="O7" s="378">
        <f>M7*N7</f>
        <v>0</v>
      </c>
      <c r="P7" s="391">
        <f>'DENTAL INTAKE'!H20</f>
        <v>0</v>
      </c>
      <c r="Q7" s="378">
        <f>M7*P7</f>
        <v>0</v>
      </c>
      <c r="R7" s="388">
        <v>0</v>
      </c>
      <c r="S7" s="387">
        <f>M7*R7</f>
        <v>0</v>
      </c>
      <c r="T7" s="393">
        <f t="shared" ref="T7:T12" si="3">S7-O7</f>
        <v>0</v>
      </c>
      <c r="U7" s="392" t="e">
        <f t="shared" ref="U7:U12" si="4">T7/O7</f>
        <v>#DIV/0!</v>
      </c>
      <c r="V7" s="496"/>
    </row>
    <row r="8" spans="1:22" s="87" customFormat="1" ht="14.25" customHeight="1" x14ac:dyDescent="0.2">
      <c r="A8" s="493"/>
      <c r="B8" s="240" t="s">
        <v>96</v>
      </c>
      <c r="C8" s="293">
        <f>'DENTAL INTAKE'!F7</f>
        <v>22</v>
      </c>
      <c r="D8" s="391">
        <f>'DENTAL INTAKE'!$G$7</f>
        <v>122.7</v>
      </c>
      <c r="E8" s="378">
        <f t="shared" si="0"/>
        <v>2699.4</v>
      </c>
      <c r="F8" s="391">
        <f>'DENTAL INTAKE'!$H$7</f>
        <v>0</v>
      </c>
      <c r="G8" s="378">
        <f>C8*F8</f>
        <v>0</v>
      </c>
      <c r="H8" s="388">
        <v>97.57</v>
      </c>
      <c r="I8" s="387">
        <f>C8*H8</f>
        <v>2146.54</v>
      </c>
      <c r="J8" s="379">
        <f t="shared" si="1"/>
        <v>-552.86000000000013</v>
      </c>
      <c r="K8" s="392">
        <f t="shared" si="2"/>
        <v>-0.20480847595762025</v>
      </c>
      <c r="L8" s="240" t="s">
        <v>96</v>
      </c>
      <c r="M8" s="524">
        <f>'DENTAL INTAKE'!F21</f>
        <v>0</v>
      </c>
      <c r="N8" s="391">
        <f>'DENTAL INTAKE'!G21</f>
        <v>0</v>
      </c>
      <c r="O8" s="378">
        <f>M8*N8</f>
        <v>0</v>
      </c>
      <c r="P8" s="391">
        <f>'DENTAL INTAKE'!H21</f>
        <v>0</v>
      </c>
      <c r="Q8" s="378">
        <f>M8*P8</f>
        <v>0</v>
      </c>
      <c r="R8" s="388">
        <v>0</v>
      </c>
      <c r="S8" s="387">
        <f>M8*R8</f>
        <v>0</v>
      </c>
      <c r="T8" s="393">
        <f t="shared" si="3"/>
        <v>0</v>
      </c>
      <c r="U8" s="392" t="e">
        <f t="shared" si="4"/>
        <v>#DIV/0!</v>
      </c>
      <c r="V8" s="496"/>
    </row>
    <row r="9" spans="1:22" s="87" customFormat="1" ht="14.25" customHeight="1" x14ac:dyDescent="0.2">
      <c r="A9" s="493"/>
      <c r="B9" s="240" t="s">
        <v>98</v>
      </c>
      <c r="C9" s="293">
        <f>'DENTAL INTAKE'!F8</f>
        <v>2</v>
      </c>
      <c r="D9" s="391">
        <f>'DENTAL INTAKE'!$G$8</f>
        <v>143.25</v>
      </c>
      <c r="E9" s="378">
        <f t="shared" si="0"/>
        <v>286.5</v>
      </c>
      <c r="F9" s="391">
        <f>'DENTAL INTAKE'!$H$8</f>
        <v>0</v>
      </c>
      <c r="G9" s="378">
        <f>C9*F9</f>
        <v>0</v>
      </c>
      <c r="H9" s="388">
        <v>113.92</v>
      </c>
      <c r="I9" s="387">
        <f>C9*H9</f>
        <v>227.84</v>
      </c>
      <c r="J9" s="379">
        <f t="shared" si="1"/>
        <v>-58.66</v>
      </c>
      <c r="K9" s="392">
        <f t="shared" si="2"/>
        <v>-0.20474694589877834</v>
      </c>
      <c r="L9" s="240" t="s">
        <v>98</v>
      </c>
      <c r="M9" s="524">
        <f>'DENTAL INTAKE'!F22</f>
        <v>0</v>
      </c>
      <c r="N9" s="391">
        <f>'DENTAL INTAKE'!G22</f>
        <v>0</v>
      </c>
      <c r="O9" s="378">
        <f>M9*N9</f>
        <v>0</v>
      </c>
      <c r="P9" s="391">
        <f>'DENTAL INTAKE'!H22</f>
        <v>0</v>
      </c>
      <c r="Q9" s="378">
        <f>M9*P9</f>
        <v>0</v>
      </c>
      <c r="R9" s="388">
        <v>0</v>
      </c>
      <c r="S9" s="387">
        <f>M9*R9</f>
        <v>0</v>
      </c>
      <c r="T9" s="393">
        <f t="shared" si="3"/>
        <v>0</v>
      </c>
      <c r="U9" s="392" t="e">
        <f t="shared" si="4"/>
        <v>#DIV/0!</v>
      </c>
      <c r="V9" s="496"/>
    </row>
    <row r="10" spans="1:22" s="87" customFormat="1" ht="17.25" customHeight="1" x14ac:dyDescent="0.2">
      <c r="A10" s="493"/>
      <c r="B10" s="240" t="s">
        <v>100</v>
      </c>
      <c r="C10" s="293">
        <f>'DENTAL INTAKE'!F9</f>
        <v>15</v>
      </c>
      <c r="D10" s="391">
        <f>'DENTAL INTAKE'!$G$9</f>
        <v>207.28</v>
      </c>
      <c r="E10" s="378">
        <f t="shared" si="0"/>
        <v>3109.2</v>
      </c>
      <c r="F10" s="391">
        <f>'DENTAL INTAKE'!$H$9</f>
        <v>0</v>
      </c>
      <c r="G10" s="378">
        <f>C10*F10</f>
        <v>0</v>
      </c>
      <c r="H10" s="388">
        <v>164.83</v>
      </c>
      <c r="I10" s="387">
        <f>C10*H10</f>
        <v>2472.4500000000003</v>
      </c>
      <c r="J10" s="379">
        <f t="shared" si="1"/>
        <v>-636.74999999999955</v>
      </c>
      <c r="K10" s="392">
        <f t="shared" si="2"/>
        <v>-0.20479544577383235</v>
      </c>
      <c r="L10" s="540" t="s">
        <v>100</v>
      </c>
      <c r="M10" s="541">
        <f>'DENTAL INTAKE'!F23</f>
        <v>0</v>
      </c>
      <c r="N10" s="542">
        <f>'DENTAL INTAKE'!G23</f>
        <v>0</v>
      </c>
      <c r="O10" s="543">
        <f>M10*N10</f>
        <v>0</v>
      </c>
      <c r="P10" s="542">
        <f>'DENTAL INTAKE'!H23</f>
        <v>0</v>
      </c>
      <c r="Q10" s="543">
        <f>M10*P10</f>
        <v>0</v>
      </c>
      <c r="R10" s="388">
        <v>0</v>
      </c>
      <c r="S10" s="544">
        <f>M10*R10</f>
        <v>0</v>
      </c>
      <c r="T10" s="531">
        <f t="shared" si="3"/>
        <v>0</v>
      </c>
      <c r="U10" s="532" t="e">
        <f t="shared" si="4"/>
        <v>#DIV/0!</v>
      </c>
      <c r="V10" s="496"/>
    </row>
    <row r="11" spans="1:22" s="87" customFormat="1" ht="14.25" customHeight="1" x14ac:dyDescent="0.2">
      <c r="A11" s="493"/>
      <c r="B11" s="241"/>
      <c r="C11" s="238" t="s">
        <v>1726</v>
      </c>
      <c r="D11" s="372"/>
      <c r="E11" s="373">
        <f>SUM(E7:E10)</f>
        <v>7262.2699999999995</v>
      </c>
      <c r="F11" s="557"/>
      <c r="G11" s="375">
        <f>SUM(G7:G10)</f>
        <v>0</v>
      </c>
      <c r="H11" s="530"/>
      <c r="I11" s="383">
        <f>SUM(I7:I10)</f>
        <v>5774.9800000000005</v>
      </c>
      <c r="J11" s="558">
        <f t="shared" si="1"/>
        <v>-1487.2899999999991</v>
      </c>
      <c r="K11" s="532">
        <f t="shared" si="2"/>
        <v>-0.20479684726676359</v>
      </c>
      <c r="L11" s="545"/>
      <c r="M11" s="546" t="s">
        <v>1726</v>
      </c>
      <c r="N11" s="374"/>
      <c r="O11" s="375">
        <f>SUM(O7:O10)</f>
        <v>0</v>
      </c>
      <c r="P11" s="374"/>
      <c r="Q11" s="375">
        <f>SUM(Q7:Q10)</f>
        <v>0</v>
      </c>
      <c r="R11" s="382"/>
      <c r="S11" s="383">
        <f>SUM(S7:S10)</f>
        <v>0</v>
      </c>
      <c r="T11" s="547">
        <f t="shared" si="3"/>
        <v>0</v>
      </c>
      <c r="U11" s="548" t="e">
        <f t="shared" si="4"/>
        <v>#DIV/0!</v>
      </c>
      <c r="V11" s="496"/>
    </row>
    <row r="12" spans="1:22" s="87" customFormat="1" ht="14.25" customHeight="1" thickBot="1" x14ac:dyDescent="0.25">
      <c r="A12" s="493"/>
      <c r="B12" s="241"/>
      <c r="C12" s="238" t="s">
        <v>1727</v>
      </c>
      <c r="D12" s="374"/>
      <c r="E12" s="375">
        <f>E11*12</f>
        <v>87147.239999999991</v>
      </c>
      <c r="F12" s="559"/>
      <c r="G12" s="529">
        <f>G11*12</f>
        <v>0</v>
      </c>
      <c r="H12" s="560"/>
      <c r="I12" s="537">
        <f>I11*12</f>
        <v>69299.760000000009</v>
      </c>
      <c r="J12" s="561">
        <f t="shared" si="1"/>
        <v>-17847.479999999981</v>
      </c>
      <c r="K12" s="539">
        <f t="shared" si="2"/>
        <v>-0.2047968472667635</v>
      </c>
      <c r="L12" s="549"/>
      <c r="M12" s="550" t="s">
        <v>1727</v>
      </c>
      <c r="N12" s="551"/>
      <c r="O12" s="552">
        <f>O11*12</f>
        <v>0</v>
      </c>
      <c r="P12" s="551"/>
      <c r="Q12" s="552">
        <f>Q11*12</f>
        <v>0</v>
      </c>
      <c r="R12" s="553"/>
      <c r="S12" s="554">
        <f>S11*12</f>
        <v>0</v>
      </c>
      <c r="T12" s="555">
        <f t="shared" si="3"/>
        <v>0</v>
      </c>
      <c r="U12" s="556" t="e">
        <f t="shared" si="4"/>
        <v>#DIV/0!</v>
      </c>
      <c r="V12" s="496"/>
    </row>
    <row r="13" spans="1:22" ht="14.25" customHeight="1" thickTop="1" thickBot="1" x14ac:dyDescent="0.25">
      <c r="A13" s="495"/>
      <c r="B13" s="289"/>
      <c r="C13" s="289"/>
      <c r="D13" s="289"/>
      <c r="E13" s="289"/>
      <c r="F13" s="289"/>
      <c r="G13" s="289"/>
      <c r="H13" s="289"/>
      <c r="I13" s="289"/>
      <c r="J13" s="289"/>
      <c r="K13" s="289"/>
      <c r="L13" s="289"/>
      <c r="M13" s="289"/>
      <c r="N13" s="289"/>
      <c r="O13" s="289"/>
      <c r="P13" s="289"/>
      <c r="Q13" s="289"/>
      <c r="R13" s="289"/>
      <c r="S13" s="289"/>
      <c r="T13" s="289"/>
      <c r="U13" s="289"/>
      <c r="V13" s="289"/>
    </row>
    <row r="14" spans="1:22" ht="18" customHeight="1" thickTop="1" thickBot="1" x14ac:dyDescent="0.3">
      <c r="A14" s="495"/>
      <c r="B14" s="1095" t="s">
        <v>1842</v>
      </c>
      <c r="C14" s="1096"/>
      <c r="D14" s="1097" t="s">
        <v>1841</v>
      </c>
      <c r="E14" s="1098"/>
      <c r="F14" s="1097" t="s">
        <v>1840</v>
      </c>
      <c r="G14" s="1098"/>
      <c r="H14" s="1097" t="s">
        <v>1839</v>
      </c>
      <c r="I14" s="1098"/>
      <c r="J14" s="1099" t="s">
        <v>1744</v>
      </c>
      <c r="K14" s="1100"/>
      <c r="L14" s="525" t="s">
        <v>1848</v>
      </c>
      <c r="M14" s="298"/>
      <c r="N14" s="298"/>
      <c r="O14" s="298"/>
      <c r="P14" s="298"/>
      <c r="Q14" s="298"/>
      <c r="R14" s="298"/>
      <c r="S14" s="298"/>
      <c r="T14" s="298"/>
      <c r="U14" s="298"/>
      <c r="V14" s="289"/>
    </row>
    <row r="15" spans="1:22" ht="14.25" customHeight="1" thickTop="1" x14ac:dyDescent="0.2">
      <c r="A15" s="495"/>
      <c r="B15" s="253"/>
      <c r="C15" s="254"/>
      <c r="D15" s="370" t="s">
        <v>29</v>
      </c>
      <c r="E15" s="371" t="s">
        <v>94</v>
      </c>
      <c r="F15" s="370" t="s">
        <v>29</v>
      </c>
      <c r="G15" s="371" t="s">
        <v>94</v>
      </c>
      <c r="H15" s="385" t="s">
        <v>29</v>
      </c>
      <c r="I15" s="386" t="s">
        <v>94</v>
      </c>
      <c r="J15" s="295" t="s">
        <v>1746</v>
      </c>
      <c r="K15" s="296" t="s">
        <v>1745</v>
      </c>
      <c r="L15" s="1095" t="s">
        <v>93</v>
      </c>
      <c r="M15" s="1096"/>
      <c r="N15" s="1101" t="s">
        <v>1742</v>
      </c>
      <c r="O15" s="1102"/>
      <c r="P15" s="1101" t="s">
        <v>1742</v>
      </c>
      <c r="Q15" s="1102"/>
      <c r="R15" s="1097" t="s">
        <v>1743</v>
      </c>
      <c r="S15" s="1098"/>
      <c r="T15" s="1099" t="s">
        <v>1744</v>
      </c>
      <c r="U15" s="1100"/>
      <c r="V15" s="289"/>
    </row>
    <row r="16" spans="1:22" ht="14.25" customHeight="1" x14ac:dyDescent="0.2">
      <c r="A16" s="495"/>
      <c r="B16" s="240" t="s">
        <v>95</v>
      </c>
      <c r="C16" s="293">
        <f>'DENTAL INTAKE'!F13</f>
        <v>0</v>
      </c>
      <c r="D16" s="391">
        <f>'DENTAL INTAKE'!$G$13</f>
        <v>0</v>
      </c>
      <c r="E16" s="378">
        <f t="shared" ref="E16:E19" si="5">C16*D16</f>
        <v>0</v>
      </c>
      <c r="F16" s="391">
        <f>'DENTAL INTAKE'!$H$13</f>
        <v>0</v>
      </c>
      <c r="G16" s="378">
        <f>C16*F16</f>
        <v>0</v>
      </c>
      <c r="H16" s="388">
        <v>0</v>
      </c>
      <c r="I16" s="387">
        <f>C16*H16</f>
        <v>0</v>
      </c>
      <c r="J16" s="379">
        <f>I16-E16</f>
        <v>0</v>
      </c>
      <c r="K16" s="392" t="e">
        <f>J16/E16</f>
        <v>#DIV/0!</v>
      </c>
      <c r="L16" s="253"/>
      <c r="M16" s="254"/>
      <c r="N16" s="389" t="s">
        <v>29</v>
      </c>
      <c r="O16" s="390" t="s">
        <v>94</v>
      </c>
      <c r="P16" s="389" t="s">
        <v>29</v>
      </c>
      <c r="Q16" s="390" t="s">
        <v>94</v>
      </c>
      <c r="R16" s="385" t="s">
        <v>29</v>
      </c>
      <c r="S16" s="397" t="s">
        <v>94</v>
      </c>
      <c r="T16" s="398" t="s">
        <v>1746</v>
      </c>
      <c r="U16" s="394" t="s">
        <v>1745</v>
      </c>
      <c r="V16" s="289"/>
    </row>
    <row r="17" spans="1:22" ht="14.25" customHeight="1" x14ac:dyDescent="0.2">
      <c r="A17" s="495"/>
      <c r="B17" s="240" t="s">
        <v>96</v>
      </c>
      <c r="C17" s="293">
        <f>'DENTAL INTAKE'!F14</f>
        <v>0</v>
      </c>
      <c r="D17" s="391">
        <f>'DENTAL INTAKE'!$G$14</f>
        <v>0</v>
      </c>
      <c r="E17" s="378">
        <f t="shared" si="5"/>
        <v>0</v>
      </c>
      <c r="F17" s="391">
        <f>'DENTAL INTAKE'!$H$14</f>
        <v>0</v>
      </c>
      <c r="G17" s="378">
        <f>C17*F17</f>
        <v>0</v>
      </c>
      <c r="H17" s="388">
        <v>0</v>
      </c>
      <c r="I17" s="387">
        <f>C17*H17</f>
        <v>0</v>
      </c>
      <c r="J17" s="379">
        <f>I17-E17</f>
        <v>0</v>
      </c>
      <c r="K17" s="392" t="e">
        <f>J17/E17</f>
        <v>#DIV/0!</v>
      </c>
      <c r="L17" s="240" t="s">
        <v>95</v>
      </c>
      <c r="M17" s="724">
        <v>0</v>
      </c>
      <c r="N17" s="725">
        <v>0</v>
      </c>
      <c r="O17" s="378">
        <f>M17*N17</f>
        <v>0</v>
      </c>
      <c r="P17" s="388">
        <v>0</v>
      </c>
      <c r="Q17" s="378">
        <f>M17*P17</f>
        <v>0</v>
      </c>
      <c r="R17" s="725">
        <v>0</v>
      </c>
      <c r="S17" s="387">
        <f>M17*R17</f>
        <v>0</v>
      </c>
      <c r="T17" s="393">
        <f t="shared" ref="T17:T22" si="6">S17-O17</f>
        <v>0</v>
      </c>
      <c r="U17" s="392" t="e">
        <f t="shared" ref="U17:U22" si="7">T17/O17</f>
        <v>#DIV/0!</v>
      </c>
      <c r="V17" s="289"/>
    </row>
    <row r="18" spans="1:22" ht="14.25" customHeight="1" x14ac:dyDescent="0.2">
      <c r="A18" s="495"/>
      <c r="B18" s="240" t="s">
        <v>98</v>
      </c>
      <c r="C18" s="293">
        <f>'DENTAL INTAKE'!F15</f>
        <v>0</v>
      </c>
      <c r="D18" s="391">
        <f>'DENTAL INTAKE'!$G$15</f>
        <v>0</v>
      </c>
      <c r="E18" s="378">
        <f t="shared" si="5"/>
        <v>0</v>
      </c>
      <c r="F18" s="391">
        <f>'DENTAL INTAKE'!$H$15</f>
        <v>0</v>
      </c>
      <c r="G18" s="378">
        <f>C18*F18</f>
        <v>0</v>
      </c>
      <c r="H18" s="388">
        <v>0</v>
      </c>
      <c r="I18" s="387">
        <f>C18*H18</f>
        <v>0</v>
      </c>
      <c r="J18" s="379">
        <f>I18-E18</f>
        <v>0</v>
      </c>
      <c r="K18" s="392" t="e">
        <f>J18/E18</f>
        <v>#DIV/0!</v>
      </c>
      <c r="L18" s="240" t="s">
        <v>96</v>
      </c>
      <c r="M18" s="724">
        <v>0</v>
      </c>
      <c r="N18" s="725">
        <v>0</v>
      </c>
      <c r="O18" s="378">
        <f>M18*N18</f>
        <v>0</v>
      </c>
      <c r="P18" s="388">
        <v>0</v>
      </c>
      <c r="Q18" s="378">
        <f>M18*P18</f>
        <v>0</v>
      </c>
      <c r="R18" s="725">
        <v>0</v>
      </c>
      <c r="S18" s="395">
        <f>M18*R18</f>
        <v>0</v>
      </c>
      <c r="T18" s="396">
        <f t="shared" si="6"/>
        <v>0</v>
      </c>
      <c r="U18" s="392" t="e">
        <f t="shared" si="7"/>
        <v>#DIV/0!</v>
      </c>
      <c r="V18" s="289"/>
    </row>
    <row r="19" spans="1:22" ht="14.25" customHeight="1" x14ac:dyDescent="0.2">
      <c r="A19" s="495"/>
      <c r="B19" s="240" t="s">
        <v>100</v>
      </c>
      <c r="C19" s="293">
        <f>'DENTAL INTAKE'!F16</f>
        <v>0</v>
      </c>
      <c r="D19" s="391">
        <f>'DENTAL INTAKE'!$G$16</f>
        <v>0</v>
      </c>
      <c r="E19" s="378">
        <f t="shared" si="5"/>
        <v>0</v>
      </c>
      <c r="F19" s="391">
        <f>'DENTAL INTAKE'!$H$16</f>
        <v>0</v>
      </c>
      <c r="G19" s="378">
        <f>C19*F19</f>
        <v>0</v>
      </c>
      <c r="H19" s="388">
        <v>0</v>
      </c>
      <c r="I19" s="387">
        <f>C19*H19</f>
        <v>0</v>
      </c>
      <c r="J19" s="379">
        <f>I19-E19</f>
        <v>0</v>
      </c>
      <c r="K19" s="392" t="e">
        <f>J19/E19</f>
        <v>#DIV/0!</v>
      </c>
      <c r="L19" s="240" t="s">
        <v>98</v>
      </c>
      <c r="M19" s="724">
        <v>0</v>
      </c>
      <c r="N19" s="725">
        <v>0</v>
      </c>
      <c r="O19" s="378">
        <f>M19*N19</f>
        <v>0</v>
      </c>
      <c r="P19" s="388">
        <v>0</v>
      </c>
      <c r="Q19" s="378">
        <f>M19*P19</f>
        <v>0</v>
      </c>
      <c r="R19" s="725">
        <v>0</v>
      </c>
      <c r="S19" s="387">
        <f>M19*R19</f>
        <v>0</v>
      </c>
      <c r="T19" s="393">
        <f t="shared" si="6"/>
        <v>0</v>
      </c>
      <c r="U19" s="392" t="e">
        <f t="shared" si="7"/>
        <v>#DIV/0!</v>
      </c>
      <c r="V19" s="289"/>
    </row>
    <row r="20" spans="1:22" ht="14.25" customHeight="1" x14ac:dyDescent="0.2">
      <c r="A20" s="495"/>
      <c r="B20" s="241"/>
      <c r="C20" s="238" t="s">
        <v>1726</v>
      </c>
      <c r="D20" s="372"/>
      <c r="E20" s="373">
        <f>SUM(E16:E19)</f>
        <v>0</v>
      </c>
      <c r="F20" s="372"/>
      <c r="G20" s="373">
        <f>SUM(G16:G19)</f>
        <v>0</v>
      </c>
      <c r="H20" s="380"/>
      <c r="I20" s="381">
        <f>SUM(I16:I19)</f>
        <v>0</v>
      </c>
      <c r="J20" s="294"/>
      <c r="K20" s="235" t="e">
        <f>SUM(K16:K19)</f>
        <v>#DIV/0!</v>
      </c>
      <c r="L20" s="240" t="s">
        <v>100</v>
      </c>
      <c r="M20" s="724">
        <v>0</v>
      </c>
      <c r="N20" s="725">
        <v>0</v>
      </c>
      <c r="O20" s="378">
        <f>M20*N20</f>
        <v>0</v>
      </c>
      <c r="P20" s="388">
        <v>0</v>
      </c>
      <c r="Q20" s="378">
        <f>M20*P20</f>
        <v>0</v>
      </c>
      <c r="R20" s="725">
        <v>0</v>
      </c>
      <c r="S20" s="387">
        <f>M20*R20</f>
        <v>0</v>
      </c>
      <c r="T20" s="393">
        <f t="shared" si="6"/>
        <v>0</v>
      </c>
      <c r="U20" s="392" t="e">
        <f t="shared" si="7"/>
        <v>#DIV/0!</v>
      </c>
      <c r="V20" s="289"/>
    </row>
    <row r="21" spans="1:22" ht="14.25" customHeight="1" x14ac:dyDescent="0.2">
      <c r="A21" s="495"/>
      <c r="B21" s="241"/>
      <c r="C21" s="238" t="s">
        <v>1727</v>
      </c>
      <c r="D21" s="374"/>
      <c r="E21" s="375">
        <f>E20*12</f>
        <v>0</v>
      </c>
      <c r="F21" s="374"/>
      <c r="G21" s="375">
        <f>G20*12</f>
        <v>0</v>
      </c>
      <c r="H21" s="382"/>
      <c r="I21" s="383">
        <f>I20*12</f>
        <v>0</v>
      </c>
      <c r="J21" s="290"/>
      <c r="K21" s="239" t="e">
        <f>K20*12</f>
        <v>#DIV/0!</v>
      </c>
      <c r="L21" s="241"/>
      <c r="M21" s="238" t="s">
        <v>1726</v>
      </c>
      <c r="N21" s="372"/>
      <c r="O21" s="373">
        <f>SUM(O17:O20)</f>
        <v>0</v>
      </c>
      <c r="P21" s="372"/>
      <c r="Q21" s="373">
        <f>SUM(Q17:Q20)</f>
        <v>0</v>
      </c>
      <c r="R21" s="530"/>
      <c r="S21" s="383">
        <f>SUM(S17:S20)</f>
        <v>0</v>
      </c>
      <c r="T21" s="531">
        <f t="shared" si="6"/>
        <v>0</v>
      </c>
      <c r="U21" s="532" t="e">
        <f t="shared" si="7"/>
        <v>#DIV/0!</v>
      </c>
      <c r="V21" s="289"/>
    </row>
    <row r="22" spans="1:22" ht="14.25" customHeight="1" thickBot="1" x14ac:dyDescent="0.25">
      <c r="A22" s="495"/>
      <c r="B22" s="291"/>
      <c r="C22" s="292"/>
      <c r="D22" s="376"/>
      <c r="E22" s="377"/>
      <c r="F22" s="376"/>
      <c r="G22" s="377"/>
      <c r="H22" s="257" t="s">
        <v>1731</v>
      </c>
      <c r="I22" s="384" t="str">
        <f>IF(I20&lt;1,"",(E21-I21)/E21*-1)</f>
        <v/>
      </c>
      <c r="J22" s="259" t="s">
        <v>1731</v>
      </c>
      <c r="K22" s="256" t="str">
        <f>IF(I20&lt;1,"",(E21-K21)/E21*-1)</f>
        <v/>
      </c>
      <c r="L22" s="526"/>
      <c r="M22" s="527" t="s">
        <v>1727</v>
      </c>
      <c r="N22" s="528"/>
      <c r="O22" s="529">
        <f>O21*12</f>
        <v>0</v>
      </c>
      <c r="P22" s="528"/>
      <c r="Q22" s="529">
        <f>Q21*12</f>
        <v>0</v>
      </c>
      <c r="R22" s="536"/>
      <c r="S22" s="537">
        <f>S21*12</f>
        <v>0</v>
      </c>
      <c r="T22" s="538">
        <f t="shared" si="6"/>
        <v>0</v>
      </c>
      <c r="U22" s="539" t="e">
        <f t="shared" si="7"/>
        <v>#DIV/0!</v>
      </c>
      <c r="V22" s="289"/>
    </row>
    <row r="23" spans="1:22" ht="14.25" customHeight="1" thickTop="1" thickBot="1" x14ac:dyDescent="0.25">
      <c r="A23" s="495"/>
      <c r="B23" s="289"/>
      <c r="C23" s="289"/>
      <c r="D23" s="289"/>
      <c r="E23" s="289"/>
      <c r="F23" s="289"/>
      <c r="G23" s="289"/>
      <c r="H23" s="289"/>
      <c r="I23" s="289"/>
      <c r="J23" s="289"/>
      <c r="K23" s="289"/>
      <c r="L23" s="289"/>
      <c r="M23" s="289"/>
      <c r="N23" s="289"/>
      <c r="O23" s="289"/>
      <c r="P23" s="289"/>
      <c r="Q23" s="289"/>
      <c r="R23" s="533" t="s">
        <v>1731</v>
      </c>
      <c r="S23" s="534" t="str">
        <f>IF(S21&lt;1,"",(O22-S22)/O22*-1)</f>
        <v/>
      </c>
      <c r="T23" s="535" t="s">
        <v>1731</v>
      </c>
      <c r="U23" s="534" t="str">
        <f>IF(S21&lt;1,"",(O22-U22)/O22*-1)</f>
        <v/>
      </c>
      <c r="V23" s="289"/>
    </row>
    <row r="24" spans="1:22" s="87" customFormat="1" ht="18" customHeight="1" thickTop="1" thickBot="1" x14ac:dyDescent="0.3">
      <c r="A24" s="493"/>
      <c r="B24" s="525" t="s">
        <v>1769</v>
      </c>
      <c r="C24" s="298"/>
      <c r="D24" s="298"/>
      <c r="E24" s="298"/>
      <c r="F24" s="298"/>
      <c r="G24" s="298"/>
      <c r="H24" s="298"/>
      <c r="I24" s="298"/>
      <c r="J24" s="298"/>
      <c r="K24" s="298"/>
      <c r="L24" s="496"/>
      <c r="M24" s="496"/>
      <c r="N24" s="496"/>
      <c r="O24" s="496"/>
      <c r="P24" s="496"/>
      <c r="Q24" s="496"/>
      <c r="R24" s="496"/>
      <c r="S24" s="496"/>
      <c r="T24" s="496"/>
      <c r="U24" s="496"/>
      <c r="V24" s="496"/>
    </row>
    <row r="25" spans="1:22" s="87" customFormat="1" ht="14" customHeight="1" thickTop="1" thickBot="1" x14ac:dyDescent="0.25">
      <c r="A25" s="492"/>
      <c r="B25" s="1095" t="s">
        <v>93</v>
      </c>
      <c r="C25" s="1096"/>
      <c r="D25" s="1097" t="s">
        <v>1741</v>
      </c>
      <c r="E25" s="1098"/>
      <c r="F25" s="1097" t="s">
        <v>1742</v>
      </c>
      <c r="G25" s="1098"/>
      <c r="H25" s="1097" t="s">
        <v>1743</v>
      </c>
      <c r="I25" s="1098"/>
      <c r="J25" s="1099" t="s">
        <v>1744</v>
      </c>
      <c r="K25" s="1100"/>
      <c r="L25" s="496"/>
      <c r="M25" s="496"/>
      <c r="N25" s="496"/>
      <c r="O25" s="496"/>
      <c r="P25" s="496"/>
      <c r="Q25" s="496"/>
      <c r="R25" s="496"/>
      <c r="S25" s="496"/>
      <c r="T25" s="496"/>
      <c r="U25" s="496"/>
      <c r="V25" s="496"/>
    </row>
    <row r="26" spans="1:22" s="87" customFormat="1" ht="14.25" customHeight="1" thickTop="1" x14ac:dyDescent="0.2">
      <c r="A26" s="492"/>
      <c r="B26" s="1095" t="s">
        <v>1843</v>
      </c>
      <c r="C26" s="1096"/>
      <c r="D26" s="1097" t="s">
        <v>1844</v>
      </c>
      <c r="E26" s="1098"/>
      <c r="F26" s="1097" t="s">
        <v>1845</v>
      </c>
      <c r="G26" s="1098"/>
      <c r="H26" s="1097" t="s">
        <v>1846</v>
      </c>
      <c r="I26" s="1098"/>
      <c r="J26" s="1099" t="s">
        <v>1744</v>
      </c>
      <c r="K26" s="1100"/>
      <c r="L26" s="496"/>
      <c r="M26" s="496"/>
      <c r="N26" s="496"/>
      <c r="O26" s="496"/>
      <c r="P26" s="496"/>
      <c r="Q26" s="496"/>
      <c r="R26" s="496"/>
      <c r="S26" s="496"/>
      <c r="T26" s="496"/>
      <c r="U26" s="496"/>
      <c r="V26" s="496"/>
    </row>
    <row r="27" spans="1:22" s="87" customFormat="1" ht="14.25" customHeight="1" x14ac:dyDescent="0.2">
      <c r="A27" s="492"/>
      <c r="B27" s="501"/>
      <c r="C27" s="502"/>
      <c r="D27" s="389" t="s">
        <v>29</v>
      </c>
      <c r="E27" s="390" t="s">
        <v>94</v>
      </c>
      <c r="F27" s="389" t="s">
        <v>29</v>
      </c>
      <c r="G27" s="390" t="s">
        <v>94</v>
      </c>
      <c r="H27" s="385" t="s">
        <v>29</v>
      </c>
      <c r="I27" s="386" t="s">
        <v>94</v>
      </c>
      <c r="J27" s="295" t="s">
        <v>1746</v>
      </c>
      <c r="K27" s="296" t="s">
        <v>1745</v>
      </c>
      <c r="L27" s="496"/>
      <c r="M27" s="496"/>
      <c r="N27" s="496"/>
      <c r="O27" s="496"/>
      <c r="P27" s="496"/>
      <c r="Q27" s="496"/>
      <c r="R27" s="496"/>
      <c r="S27" s="496"/>
      <c r="T27" s="496"/>
      <c r="U27" s="496"/>
      <c r="V27" s="496"/>
    </row>
    <row r="28" spans="1:22" s="87" customFormat="1" ht="14.25" customHeight="1" x14ac:dyDescent="0.2">
      <c r="A28" s="492"/>
      <c r="B28" s="500" t="s">
        <v>95</v>
      </c>
      <c r="C28" s="293">
        <f>'DENTAL INTAKE'!F27</f>
        <v>0</v>
      </c>
      <c r="D28" s="391">
        <f>'DENTAL INTAKE'!$G$6</f>
        <v>61.43</v>
      </c>
      <c r="E28" s="378">
        <f t="shared" ref="E28:E31" si="8">C28*D28</f>
        <v>0</v>
      </c>
      <c r="F28" s="391">
        <f>'DENTAL INTAKE'!$H$6</f>
        <v>0</v>
      </c>
      <c r="G28" s="378">
        <f>C28*F28</f>
        <v>0</v>
      </c>
      <c r="H28" s="388">
        <v>0</v>
      </c>
      <c r="I28" s="387">
        <f>C28*H28</f>
        <v>0</v>
      </c>
      <c r="J28" s="379">
        <f t="shared" ref="J28:J33" si="9">I28-E28</f>
        <v>0</v>
      </c>
      <c r="K28" s="392" t="e">
        <f t="shared" ref="K28:K33" si="10">J28/E28</f>
        <v>#DIV/0!</v>
      </c>
      <c r="L28" s="496"/>
      <c r="M28" s="496"/>
      <c r="N28" s="496"/>
      <c r="O28" s="496"/>
      <c r="P28" s="496"/>
      <c r="Q28" s="496"/>
      <c r="R28" s="496"/>
      <c r="S28" s="496"/>
      <c r="T28" s="496"/>
      <c r="U28" s="496"/>
      <c r="V28" s="496"/>
    </row>
    <row r="29" spans="1:22" s="87" customFormat="1" ht="14.25" customHeight="1" x14ac:dyDescent="0.2">
      <c r="A29" s="492"/>
      <c r="B29" s="500" t="s">
        <v>96</v>
      </c>
      <c r="C29" s="293">
        <f>'DENTAL INTAKE'!F28</f>
        <v>0</v>
      </c>
      <c r="D29" s="391">
        <f>'DENTAL INTAKE'!$G$7</f>
        <v>122.7</v>
      </c>
      <c r="E29" s="378">
        <f t="shared" si="8"/>
        <v>0</v>
      </c>
      <c r="F29" s="391">
        <f>'DENTAL INTAKE'!$H$7</f>
        <v>0</v>
      </c>
      <c r="G29" s="378">
        <f>C29*F29</f>
        <v>0</v>
      </c>
      <c r="H29" s="388">
        <v>0</v>
      </c>
      <c r="I29" s="387">
        <f>C29*H29</f>
        <v>0</v>
      </c>
      <c r="J29" s="379">
        <f t="shared" si="9"/>
        <v>0</v>
      </c>
      <c r="K29" s="392" t="e">
        <f t="shared" si="10"/>
        <v>#DIV/0!</v>
      </c>
      <c r="L29" s="496"/>
      <c r="M29" s="496"/>
      <c r="N29" s="496"/>
      <c r="O29" s="496"/>
      <c r="P29" s="496"/>
      <c r="Q29" s="496"/>
      <c r="R29" s="496"/>
      <c r="S29" s="496"/>
      <c r="T29" s="496"/>
      <c r="U29" s="496"/>
      <c r="V29" s="496"/>
    </row>
    <row r="30" spans="1:22" s="87" customFormat="1" ht="17.25" customHeight="1" x14ac:dyDescent="0.2">
      <c r="A30" s="492"/>
      <c r="B30" s="500" t="s">
        <v>98</v>
      </c>
      <c r="C30" s="293">
        <f>'DENTAL INTAKE'!F29</f>
        <v>0</v>
      </c>
      <c r="D30" s="391">
        <f>'DENTAL INTAKE'!$G$8</f>
        <v>143.25</v>
      </c>
      <c r="E30" s="378">
        <f t="shared" si="8"/>
        <v>0</v>
      </c>
      <c r="F30" s="391">
        <f>'DENTAL INTAKE'!$H$8</f>
        <v>0</v>
      </c>
      <c r="G30" s="378">
        <f>C30*F30</f>
        <v>0</v>
      </c>
      <c r="H30" s="388">
        <v>0</v>
      </c>
      <c r="I30" s="387">
        <f>C30*H30</f>
        <v>0</v>
      </c>
      <c r="J30" s="379">
        <f t="shared" si="9"/>
        <v>0</v>
      </c>
      <c r="K30" s="392" t="e">
        <f t="shared" si="10"/>
        <v>#DIV/0!</v>
      </c>
      <c r="L30" s="496"/>
      <c r="M30" s="496"/>
      <c r="N30" s="496"/>
      <c r="O30" s="496"/>
      <c r="P30" s="496"/>
      <c r="Q30" s="496"/>
      <c r="R30" s="496"/>
      <c r="S30" s="496"/>
      <c r="T30" s="496"/>
      <c r="U30" s="496"/>
      <c r="V30" s="496"/>
    </row>
    <row r="31" spans="1:22" s="87" customFormat="1" ht="14.25" customHeight="1" x14ac:dyDescent="0.2">
      <c r="A31" s="492"/>
      <c r="B31" s="500" t="s">
        <v>100</v>
      </c>
      <c r="C31" s="293">
        <f>'DENTAL INTAKE'!F30</f>
        <v>0</v>
      </c>
      <c r="D31" s="391">
        <f>'DENTAL INTAKE'!$G$9</f>
        <v>207.28</v>
      </c>
      <c r="E31" s="378">
        <f t="shared" si="8"/>
        <v>0</v>
      </c>
      <c r="F31" s="391">
        <f>'DENTAL INTAKE'!$H$9</f>
        <v>0</v>
      </c>
      <c r="G31" s="378">
        <f>C31*F31</f>
        <v>0</v>
      </c>
      <c r="H31" s="388">
        <v>0</v>
      </c>
      <c r="I31" s="387">
        <f>C31*H31</f>
        <v>0</v>
      </c>
      <c r="J31" s="379">
        <f t="shared" si="9"/>
        <v>0</v>
      </c>
      <c r="K31" s="392" t="e">
        <f t="shared" si="10"/>
        <v>#DIV/0!</v>
      </c>
      <c r="L31" s="496"/>
      <c r="M31" s="496"/>
      <c r="N31" s="496"/>
      <c r="O31" s="496"/>
      <c r="P31" s="496"/>
      <c r="Q31" s="496"/>
      <c r="R31" s="496"/>
      <c r="S31" s="496"/>
      <c r="T31" s="496"/>
      <c r="U31" s="496"/>
      <c r="V31" s="496"/>
    </row>
    <row r="32" spans="1:22" s="87" customFormat="1" ht="14.25" customHeight="1" x14ac:dyDescent="0.2">
      <c r="A32" s="492"/>
      <c r="B32" s="241"/>
      <c r="C32" s="238" t="s">
        <v>1726</v>
      </c>
      <c r="D32" s="372"/>
      <c r="E32" s="373">
        <f>SUM(E28:E31)</f>
        <v>0</v>
      </c>
      <c r="F32" s="557"/>
      <c r="G32" s="375">
        <f>SUM(G28:G31)</f>
        <v>0</v>
      </c>
      <c r="H32" s="530"/>
      <c r="I32" s="383">
        <f>SUM(I28:I31)</f>
        <v>0</v>
      </c>
      <c r="J32" s="558">
        <f t="shared" si="9"/>
        <v>0</v>
      </c>
      <c r="K32" s="532" t="e">
        <f t="shared" si="10"/>
        <v>#DIV/0!</v>
      </c>
      <c r="L32" s="496"/>
      <c r="M32" s="496"/>
      <c r="N32" s="496"/>
      <c r="O32" s="496"/>
      <c r="P32" s="496"/>
      <c r="Q32" s="496"/>
      <c r="R32" s="496"/>
      <c r="S32" s="496"/>
      <c r="T32" s="496"/>
      <c r="U32" s="496"/>
      <c r="V32" s="496"/>
    </row>
    <row r="33" spans="1:22" s="87" customFormat="1" ht="14.25" customHeight="1" thickBot="1" x14ac:dyDescent="0.25">
      <c r="A33" s="492"/>
      <c r="B33" s="241"/>
      <c r="C33" s="238" t="s">
        <v>1727</v>
      </c>
      <c r="D33" s="374"/>
      <c r="E33" s="375">
        <f>E32*12</f>
        <v>0</v>
      </c>
      <c r="F33" s="559"/>
      <c r="G33" s="529">
        <f>G32*12</f>
        <v>0</v>
      </c>
      <c r="H33" s="560"/>
      <c r="I33" s="537">
        <f>I32*12</f>
        <v>0</v>
      </c>
      <c r="J33" s="561">
        <f t="shared" si="9"/>
        <v>0</v>
      </c>
      <c r="K33" s="539" t="e">
        <f t="shared" si="10"/>
        <v>#DIV/0!</v>
      </c>
      <c r="L33" s="496"/>
      <c r="M33" s="496"/>
      <c r="N33" s="496"/>
      <c r="O33" s="496"/>
      <c r="P33" s="496"/>
      <c r="Q33" s="496"/>
      <c r="R33" s="496"/>
      <c r="S33" s="496"/>
      <c r="T33" s="496"/>
      <c r="U33" s="496"/>
      <c r="V33" s="496"/>
    </row>
    <row r="34" spans="1:22" ht="14.25" customHeight="1" thickTop="1" thickBot="1" x14ac:dyDescent="0.25">
      <c r="A34" s="495"/>
      <c r="B34" s="289"/>
      <c r="C34" s="289"/>
      <c r="D34" s="289"/>
      <c r="E34" s="289"/>
      <c r="F34" s="289"/>
      <c r="G34" s="289"/>
      <c r="H34" s="289"/>
      <c r="I34" s="289"/>
      <c r="J34" s="289"/>
      <c r="K34" s="289"/>
      <c r="L34" s="289"/>
      <c r="M34" s="289"/>
      <c r="N34" s="289"/>
      <c r="O34" s="289"/>
      <c r="P34" s="289"/>
      <c r="Q34" s="289"/>
      <c r="R34" s="289"/>
      <c r="S34" s="289"/>
      <c r="T34" s="289"/>
      <c r="U34" s="289"/>
      <c r="V34" s="289"/>
    </row>
    <row r="35" spans="1:22" ht="14.25" customHeight="1" thickTop="1" x14ac:dyDescent="0.2">
      <c r="A35" s="495"/>
      <c r="B35" s="1095" t="s">
        <v>1842</v>
      </c>
      <c r="C35" s="1096"/>
      <c r="D35" s="1097" t="s">
        <v>1841</v>
      </c>
      <c r="E35" s="1098"/>
      <c r="F35" s="1097" t="s">
        <v>1840</v>
      </c>
      <c r="G35" s="1098"/>
      <c r="H35" s="1097" t="s">
        <v>1839</v>
      </c>
      <c r="I35" s="1098"/>
      <c r="J35" s="1099" t="s">
        <v>1744</v>
      </c>
      <c r="K35" s="1100"/>
      <c r="L35" s="299"/>
      <c r="M35" s="496"/>
      <c r="N35" s="496"/>
      <c r="O35" s="496"/>
      <c r="P35" s="496"/>
      <c r="Q35" s="289"/>
      <c r="R35" s="289"/>
      <c r="S35" s="289"/>
      <c r="T35" s="289"/>
      <c r="U35" s="289"/>
      <c r="V35" s="289"/>
    </row>
    <row r="36" spans="1:22" ht="14.25" customHeight="1" x14ac:dyDescent="0.2">
      <c r="A36" s="495"/>
      <c r="B36" s="501"/>
      <c r="C36" s="502"/>
      <c r="D36" s="370" t="s">
        <v>29</v>
      </c>
      <c r="E36" s="371" t="s">
        <v>94</v>
      </c>
      <c r="F36" s="370" t="s">
        <v>29</v>
      </c>
      <c r="G36" s="371" t="s">
        <v>94</v>
      </c>
      <c r="H36" s="385" t="s">
        <v>29</v>
      </c>
      <c r="I36" s="386" t="s">
        <v>94</v>
      </c>
      <c r="J36" s="295" t="s">
        <v>1746</v>
      </c>
      <c r="K36" s="296" t="s">
        <v>1745</v>
      </c>
      <c r="L36" s="299"/>
      <c r="M36" s="496"/>
      <c r="N36" s="496"/>
      <c r="O36" s="496"/>
      <c r="P36" s="496"/>
      <c r="Q36" s="289"/>
      <c r="R36" s="289"/>
      <c r="S36" s="289"/>
      <c r="T36" s="289"/>
      <c r="U36" s="289"/>
      <c r="V36" s="289"/>
    </row>
    <row r="37" spans="1:22" ht="14.25" customHeight="1" x14ac:dyDescent="0.2">
      <c r="A37" s="495"/>
      <c r="B37" s="500" t="s">
        <v>95</v>
      </c>
      <c r="C37" s="293">
        <f>'DENTAL INTAKE'!F34</f>
        <v>0</v>
      </c>
      <c r="D37" s="391">
        <f>'DENTAL INTAKE'!$G$13</f>
        <v>0</v>
      </c>
      <c r="E37" s="378">
        <f t="shared" ref="E37:E40" si="11">C37*D37</f>
        <v>0</v>
      </c>
      <c r="F37" s="391">
        <f>'DENTAL INTAKE'!$H$13</f>
        <v>0</v>
      </c>
      <c r="G37" s="378">
        <f>C37*F37</f>
        <v>0</v>
      </c>
      <c r="H37" s="388">
        <v>0</v>
      </c>
      <c r="I37" s="387">
        <f>C37*H37</f>
        <v>0</v>
      </c>
      <c r="J37" s="379">
        <f>I37-E37</f>
        <v>0</v>
      </c>
      <c r="K37" s="392" t="e">
        <f>J37/E37</f>
        <v>#DIV/0!</v>
      </c>
      <c r="L37" s="299"/>
      <c r="M37" s="496"/>
      <c r="N37" s="496"/>
      <c r="O37" s="496"/>
      <c r="P37" s="496"/>
      <c r="Q37" s="289"/>
      <c r="R37" s="289"/>
      <c r="S37" s="289"/>
      <c r="T37" s="289"/>
      <c r="U37" s="289"/>
      <c r="V37" s="289"/>
    </row>
    <row r="38" spans="1:22" ht="14.25" customHeight="1" x14ac:dyDescent="0.2">
      <c r="A38" s="495"/>
      <c r="B38" s="500" t="s">
        <v>96</v>
      </c>
      <c r="C38" s="293">
        <f>'DENTAL INTAKE'!F35</f>
        <v>0</v>
      </c>
      <c r="D38" s="391">
        <f>'DENTAL INTAKE'!$G$14</f>
        <v>0</v>
      </c>
      <c r="E38" s="378">
        <f t="shared" si="11"/>
        <v>0</v>
      </c>
      <c r="F38" s="391">
        <f>'DENTAL INTAKE'!$H$14</f>
        <v>0</v>
      </c>
      <c r="G38" s="378">
        <f>C38*F38</f>
        <v>0</v>
      </c>
      <c r="H38" s="388">
        <v>0</v>
      </c>
      <c r="I38" s="387">
        <f>C38*H38</f>
        <v>0</v>
      </c>
      <c r="J38" s="379">
        <f>I38-E38</f>
        <v>0</v>
      </c>
      <c r="K38" s="392" t="e">
        <f>J38/E38</f>
        <v>#DIV/0!</v>
      </c>
      <c r="L38" s="299"/>
      <c r="M38" s="496"/>
      <c r="N38" s="496"/>
      <c r="O38" s="496"/>
      <c r="P38" s="496"/>
      <c r="Q38" s="289"/>
      <c r="R38" s="289"/>
      <c r="S38" s="289"/>
      <c r="T38" s="289"/>
      <c r="U38" s="289"/>
      <c r="V38" s="289"/>
    </row>
    <row r="39" spans="1:22" ht="14.25" customHeight="1" x14ac:dyDescent="0.2">
      <c r="A39" s="495"/>
      <c r="B39" s="500" t="s">
        <v>98</v>
      </c>
      <c r="C39" s="293">
        <f>'DENTAL INTAKE'!F36</f>
        <v>0</v>
      </c>
      <c r="D39" s="391">
        <f>'DENTAL INTAKE'!$G$15</f>
        <v>0</v>
      </c>
      <c r="E39" s="378">
        <f t="shared" si="11"/>
        <v>0</v>
      </c>
      <c r="F39" s="391">
        <f>'DENTAL INTAKE'!$H$15</f>
        <v>0</v>
      </c>
      <c r="G39" s="378">
        <f>C39*F39</f>
        <v>0</v>
      </c>
      <c r="H39" s="388">
        <v>0</v>
      </c>
      <c r="I39" s="387">
        <f>C39*H39</f>
        <v>0</v>
      </c>
      <c r="J39" s="379">
        <f>I39-E39</f>
        <v>0</v>
      </c>
      <c r="K39" s="392" t="e">
        <f>J39/E39</f>
        <v>#DIV/0!</v>
      </c>
      <c r="L39" s="299"/>
      <c r="M39" s="496"/>
      <c r="N39" s="496"/>
      <c r="O39" s="496"/>
      <c r="P39" s="496"/>
      <c r="Q39" s="289"/>
      <c r="R39" s="289"/>
      <c r="S39" s="289"/>
      <c r="T39" s="289"/>
      <c r="U39" s="289"/>
      <c r="V39" s="289"/>
    </row>
    <row r="40" spans="1:22" ht="14.25" customHeight="1" x14ac:dyDescent="0.2">
      <c r="A40" s="495"/>
      <c r="B40" s="500" t="s">
        <v>100</v>
      </c>
      <c r="C40" s="293">
        <f>'DENTAL INTAKE'!F37</f>
        <v>0</v>
      </c>
      <c r="D40" s="391">
        <f>'DENTAL INTAKE'!$G$16</f>
        <v>0</v>
      </c>
      <c r="E40" s="378">
        <f t="shared" si="11"/>
        <v>0</v>
      </c>
      <c r="F40" s="391">
        <f>'DENTAL INTAKE'!$H$16</f>
        <v>0</v>
      </c>
      <c r="G40" s="378">
        <f>C40*F40</f>
        <v>0</v>
      </c>
      <c r="H40" s="388">
        <v>0</v>
      </c>
      <c r="I40" s="387">
        <f>C40*H40</f>
        <v>0</v>
      </c>
      <c r="J40" s="379">
        <f>I40-E40</f>
        <v>0</v>
      </c>
      <c r="K40" s="392" t="e">
        <f>J40/E40</f>
        <v>#DIV/0!</v>
      </c>
      <c r="L40" s="299"/>
      <c r="M40" s="496"/>
      <c r="N40" s="496"/>
      <c r="O40" s="496"/>
      <c r="P40" s="496"/>
      <c r="Q40" s="289"/>
      <c r="R40" s="289"/>
      <c r="S40" s="289"/>
      <c r="T40" s="289"/>
      <c r="U40" s="289"/>
      <c r="V40" s="289"/>
    </row>
    <row r="41" spans="1:22" ht="14.25" customHeight="1" x14ac:dyDescent="0.2">
      <c r="A41" s="495"/>
      <c r="B41" s="241"/>
      <c r="C41" s="238" t="s">
        <v>1726</v>
      </c>
      <c r="D41" s="372"/>
      <c r="E41" s="373">
        <f>SUM(E37:E40)</f>
        <v>0</v>
      </c>
      <c r="F41" s="372"/>
      <c r="G41" s="373">
        <f>SUM(G37:G40)</f>
        <v>0</v>
      </c>
      <c r="H41" s="380"/>
      <c r="I41" s="381">
        <f>SUM(I37:I40)</f>
        <v>0</v>
      </c>
      <c r="J41" s="294"/>
      <c r="K41" s="235" t="e">
        <f>SUM(K37:K40)</f>
        <v>#DIV/0!</v>
      </c>
      <c r="L41" s="299"/>
      <c r="M41" s="496"/>
      <c r="N41" s="496"/>
      <c r="O41" s="496"/>
      <c r="P41" s="496"/>
      <c r="Q41" s="289"/>
      <c r="R41" s="289"/>
      <c r="S41" s="289"/>
      <c r="T41" s="289"/>
      <c r="U41" s="289"/>
      <c r="V41" s="289"/>
    </row>
    <row r="42" spans="1:22" ht="14.25" customHeight="1" x14ac:dyDescent="0.2">
      <c r="A42" s="495"/>
      <c r="B42" s="241"/>
      <c r="C42" s="238" t="s">
        <v>1727</v>
      </c>
      <c r="D42" s="374"/>
      <c r="E42" s="375">
        <f>E41*12</f>
        <v>0</v>
      </c>
      <c r="F42" s="374"/>
      <c r="G42" s="375">
        <f>G41*12</f>
        <v>0</v>
      </c>
      <c r="H42" s="382"/>
      <c r="I42" s="383">
        <f>I41*12</f>
        <v>0</v>
      </c>
      <c r="J42" s="290"/>
      <c r="K42" s="239" t="e">
        <f>K41*12</f>
        <v>#DIV/0!</v>
      </c>
      <c r="L42" s="299"/>
      <c r="M42" s="496"/>
      <c r="N42" s="496"/>
      <c r="O42" s="496"/>
      <c r="P42" s="496"/>
      <c r="Q42" s="289"/>
      <c r="R42" s="289"/>
      <c r="S42" s="289"/>
      <c r="T42" s="289"/>
      <c r="U42" s="289"/>
      <c r="V42" s="289"/>
    </row>
    <row r="43" spans="1:22" ht="14.25" customHeight="1" thickBot="1" x14ac:dyDescent="0.25">
      <c r="A43" s="495"/>
      <c r="B43" s="291"/>
      <c r="C43" s="292"/>
      <c r="D43" s="376"/>
      <c r="E43" s="377"/>
      <c r="F43" s="376"/>
      <c r="G43" s="377"/>
      <c r="H43" s="257" t="s">
        <v>1731</v>
      </c>
      <c r="I43" s="384" t="str">
        <f>IF(I41&lt;1,"",(E42-I42)/E42*-1)</f>
        <v/>
      </c>
      <c r="J43" s="259" t="s">
        <v>1731</v>
      </c>
      <c r="K43" s="256" t="str">
        <f>IF(I41&lt;1,"",(E42-K42)/E42*-1)</f>
        <v/>
      </c>
      <c r="L43" s="299"/>
      <c r="M43" s="496"/>
      <c r="N43" s="496"/>
      <c r="O43" s="496"/>
      <c r="P43" s="496"/>
      <c r="Q43" s="289"/>
      <c r="R43" s="289"/>
      <c r="S43" s="289"/>
      <c r="T43" s="289"/>
      <c r="U43" s="289"/>
      <c r="V43" s="289"/>
    </row>
    <row r="44" spans="1:22" ht="14.25" customHeight="1" thickTop="1" thickBot="1" x14ac:dyDescent="0.25">
      <c r="A44" s="495"/>
      <c r="B44" s="289"/>
      <c r="C44" s="289"/>
      <c r="D44" s="289"/>
      <c r="E44" s="289"/>
      <c r="F44" s="289"/>
      <c r="G44" s="289"/>
      <c r="H44" s="289"/>
      <c r="I44" s="289"/>
      <c r="J44" s="289"/>
      <c r="K44" s="289"/>
      <c r="L44" s="289"/>
      <c r="M44" s="289"/>
      <c r="N44" s="289"/>
      <c r="O44" s="289"/>
      <c r="P44" s="289"/>
      <c r="Q44" s="289"/>
      <c r="R44" s="289"/>
      <c r="S44" s="289"/>
      <c r="T44" s="289"/>
      <c r="U44" s="289"/>
      <c r="V44" s="289"/>
    </row>
    <row r="45" spans="1:22" s="87" customFormat="1" ht="18" customHeight="1" thickTop="1" thickBot="1" x14ac:dyDescent="0.3">
      <c r="A45" s="493"/>
      <c r="B45" s="525" t="s">
        <v>1770</v>
      </c>
      <c r="C45" s="298"/>
      <c r="D45" s="298"/>
      <c r="E45" s="298"/>
      <c r="F45" s="298"/>
      <c r="G45" s="298"/>
      <c r="H45" s="298"/>
      <c r="I45" s="298"/>
      <c r="J45" s="298"/>
      <c r="K45" s="298"/>
      <c r="L45" s="496"/>
      <c r="M45" s="496"/>
      <c r="N45" s="496"/>
      <c r="O45" s="496"/>
      <c r="P45" s="496"/>
      <c r="Q45" s="496"/>
      <c r="R45" s="496"/>
      <c r="S45" s="496"/>
      <c r="T45" s="496"/>
      <c r="U45" s="496"/>
      <c r="V45" s="496"/>
    </row>
    <row r="46" spans="1:22" s="87" customFormat="1" ht="14.25" customHeight="1" thickTop="1" x14ac:dyDescent="0.2">
      <c r="A46" s="492"/>
      <c r="B46" s="1095" t="s">
        <v>1843</v>
      </c>
      <c r="C46" s="1096"/>
      <c r="D46" s="1097" t="s">
        <v>1844</v>
      </c>
      <c r="E46" s="1098"/>
      <c r="F46" s="1097" t="s">
        <v>1845</v>
      </c>
      <c r="G46" s="1098"/>
      <c r="H46" s="1097" t="s">
        <v>1846</v>
      </c>
      <c r="I46" s="1098"/>
      <c r="J46" s="1099" t="s">
        <v>1744</v>
      </c>
      <c r="K46" s="1100"/>
      <c r="L46" s="496"/>
      <c r="M46" s="496"/>
      <c r="N46" s="496"/>
      <c r="O46" s="496"/>
      <c r="P46" s="496"/>
      <c r="Q46" s="496"/>
      <c r="R46" s="496"/>
      <c r="S46" s="496"/>
      <c r="T46" s="496"/>
      <c r="U46" s="496"/>
      <c r="V46" s="496"/>
    </row>
    <row r="47" spans="1:22" s="87" customFormat="1" ht="14.25" customHeight="1" x14ac:dyDescent="0.2">
      <c r="A47" s="492"/>
      <c r="B47" s="501"/>
      <c r="C47" s="502"/>
      <c r="D47" s="389" t="s">
        <v>29</v>
      </c>
      <c r="E47" s="390" t="s">
        <v>94</v>
      </c>
      <c r="F47" s="389" t="s">
        <v>29</v>
      </c>
      <c r="G47" s="390" t="s">
        <v>94</v>
      </c>
      <c r="H47" s="385" t="s">
        <v>29</v>
      </c>
      <c r="I47" s="386" t="s">
        <v>94</v>
      </c>
      <c r="J47" s="295" t="s">
        <v>1746</v>
      </c>
      <c r="K47" s="296" t="s">
        <v>1745</v>
      </c>
      <c r="L47" s="496"/>
      <c r="M47" s="496"/>
      <c r="N47" s="496"/>
      <c r="O47" s="496"/>
      <c r="P47" s="496"/>
      <c r="Q47" s="496"/>
      <c r="R47" s="496"/>
      <c r="S47" s="496"/>
      <c r="T47" s="496"/>
      <c r="U47" s="496"/>
      <c r="V47" s="496"/>
    </row>
    <row r="48" spans="1:22" s="87" customFormat="1" ht="14.25" customHeight="1" x14ac:dyDescent="0.2">
      <c r="A48" s="492"/>
      <c r="B48" s="500" t="s">
        <v>95</v>
      </c>
      <c r="C48" s="293">
        <f>'DENTAL INTAKE'!F47</f>
        <v>0</v>
      </c>
      <c r="D48" s="391">
        <f>'DENTAL INTAKE'!$G$6</f>
        <v>61.43</v>
      </c>
      <c r="E48" s="378">
        <f t="shared" ref="E48:E51" si="12">C48*D48</f>
        <v>0</v>
      </c>
      <c r="F48" s="391">
        <f>'DENTAL INTAKE'!$H$6</f>
        <v>0</v>
      </c>
      <c r="G48" s="378">
        <f>C48*F48</f>
        <v>0</v>
      </c>
      <c r="H48" s="388"/>
      <c r="I48" s="387">
        <f>C48*H48</f>
        <v>0</v>
      </c>
      <c r="J48" s="379">
        <f t="shared" ref="J48:J53" si="13">I48-E48</f>
        <v>0</v>
      </c>
      <c r="K48" s="392" t="e">
        <f t="shared" ref="K48:K53" si="14">J48/E48</f>
        <v>#DIV/0!</v>
      </c>
      <c r="L48" s="496"/>
      <c r="M48" s="496"/>
      <c r="N48" s="496"/>
      <c r="O48" s="496"/>
      <c r="P48" s="496"/>
      <c r="Q48" s="496"/>
      <c r="R48" s="496"/>
      <c r="S48" s="496"/>
      <c r="T48" s="496"/>
      <c r="U48" s="496"/>
      <c r="V48" s="496"/>
    </row>
    <row r="49" spans="1:22" s="87" customFormat="1" ht="14.25" customHeight="1" x14ac:dyDescent="0.2">
      <c r="A49" s="492"/>
      <c r="B49" s="500" t="s">
        <v>96</v>
      </c>
      <c r="C49" s="293">
        <f>'DENTAL INTAKE'!F48</f>
        <v>0</v>
      </c>
      <c r="D49" s="391">
        <f>'DENTAL INTAKE'!$G$7</f>
        <v>122.7</v>
      </c>
      <c r="E49" s="378">
        <f t="shared" si="12"/>
        <v>0</v>
      </c>
      <c r="F49" s="391">
        <f>'DENTAL INTAKE'!$H$7</f>
        <v>0</v>
      </c>
      <c r="G49" s="378">
        <f>C49*F49</f>
        <v>0</v>
      </c>
      <c r="H49" s="388"/>
      <c r="I49" s="387">
        <f>C49*H49</f>
        <v>0</v>
      </c>
      <c r="J49" s="379">
        <f t="shared" si="13"/>
        <v>0</v>
      </c>
      <c r="K49" s="392" t="e">
        <f t="shared" si="14"/>
        <v>#DIV/0!</v>
      </c>
      <c r="L49" s="496"/>
      <c r="M49" s="496"/>
      <c r="N49" s="496"/>
      <c r="O49" s="496"/>
      <c r="P49" s="496"/>
      <c r="Q49" s="496"/>
      <c r="R49" s="496"/>
      <c r="S49" s="496"/>
      <c r="T49" s="496"/>
      <c r="U49" s="496"/>
      <c r="V49" s="496"/>
    </row>
    <row r="50" spans="1:22" s="87" customFormat="1" ht="14.25" customHeight="1" x14ac:dyDescent="0.2">
      <c r="A50" s="492"/>
      <c r="B50" s="500" t="s">
        <v>98</v>
      </c>
      <c r="C50" s="293">
        <f>'DENTAL INTAKE'!F49</f>
        <v>0</v>
      </c>
      <c r="D50" s="391">
        <f>'DENTAL INTAKE'!$G$8</f>
        <v>143.25</v>
      </c>
      <c r="E50" s="378">
        <f t="shared" si="12"/>
        <v>0</v>
      </c>
      <c r="F50" s="391">
        <f>'DENTAL INTAKE'!$H$8</f>
        <v>0</v>
      </c>
      <c r="G50" s="378">
        <f>C50*F50</f>
        <v>0</v>
      </c>
      <c r="H50" s="388"/>
      <c r="I50" s="387">
        <f>C50*H50</f>
        <v>0</v>
      </c>
      <c r="J50" s="379">
        <f t="shared" si="13"/>
        <v>0</v>
      </c>
      <c r="K50" s="392" t="e">
        <f t="shared" si="14"/>
        <v>#DIV/0!</v>
      </c>
      <c r="L50" s="496"/>
      <c r="M50" s="496"/>
      <c r="N50" s="496"/>
      <c r="O50" s="496"/>
      <c r="P50" s="496"/>
      <c r="Q50" s="496"/>
      <c r="R50" s="496"/>
      <c r="S50" s="496"/>
      <c r="T50" s="496"/>
      <c r="U50" s="496"/>
      <c r="V50" s="496"/>
    </row>
    <row r="51" spans="1:22" s="87" customFormat="1" ht="17.25" customHeight="1" x14ac:dyDescent="0.2">
      <c r="A51" s="492"/>
      <c r="B51" s="500" t="s">
        <v>100</v>
      </c>
      <c r="C51" s="293">
        <f>'DENTAL INTAKE'!F50</f>
        <v>0</v>
      </c>
      <c r="D51" s="391">
        <f>'DENTAL INTAKE'!$G$9</f>
        <v>207.28</v>
      </c>
      <c r="E51" s="378">
        <f t="shared" si="12"/>
        <v>0</v>
      </c>
      <c r="F51" s="391">
        <f>'DENTAL INTAKE'!$H$9</f>
        <v>0</v>
      </c>
      <c r="G51" s="378">
        <f>C51*F51</f>
        <v>0</v>
      </c>
      <c r="H51" s="388"/>
      <c r="I51" s="387">
        <f>C51*H51</f>
        <v>0</v>
      </c>
      <c r="J51" s="379">
        <f t="shared" si="13"/>
        <v>0</v>
      </c>
      <c r="K51" s="392" t="e">
        <f t="shared" si="14"/>
        <v>#DIV/0!</v>
      </c>
      <c r="L51" s="496"/>
      <c r="M51" s="496"/>
      <c r="N51" s="496"/>
      <c r="O51" s="496"/>
      <c r="P51" s="496"/>
      <c r="Q51" s="496"/>
      <c r="R51" s="496"/>
      <c r="S51" s="496"/>
      <c r="T51" s="496"/>
      <c r="U51" s="496"/>
      <c r="V51" s="496"/>
    </row>
    <row r="52" spans="1:22" s="87" customFormat="1" ht="14.25" customHeight="1" x14ac:dyDescent="0.2">
      <c r="A52" s="492"/>
      <c r="B52" s="241"/>
      <c r="C52" s="238" t="s">
        <v>1726</v>
      </c>
      <c r="D52" s="372"/>
      <c r="E52" s="373">
        <f>SUM(E48:E51)</f>
        <v>0</v>
      </c>
      <c r="F52" s="557"/>
      <c r="G52" s="375">
        <f>SUM(G48:G51)</f>
        <v>0</v>
      </c>
      <c r="H52" s="530"/>
      <c r="I52" s="383">
        <f>SUM(I48:I51)</f>
        <v>0</v>
      </c>
      <c r="J52" s="558">
        <f t="shared" si="13"/>
        <v>0</v>
      </c>
      <c r="K52" s="532" t="e">
        <f t="shared" si="14"/>
        <v>#DIV/0!</v>
      </c>
      <c r="L52" s="496"/>
      <c r="M52" s="496"/>
      <c r="N52" s="496"/>
      <c r="O52" s="496"/>
      <c r="P52" s="496"/>
      <c r="Q52" s="496"/>
      <c r="R52" s="496"/>
      <c r="S52" s="496"/>
      <c r="T52" s="496"/>
      <c r="U52" s="496"/>
      <c r="V52" s="496"/>
    </row>
    <row r="53" spans="1:22" s="87" customFormat="1" ht="14.25" customHeight="1" thickBot="1" x14ac:dyDescent="0.25">
      <c r="A53" s="492"/>
      <c r="B53" s="241"/>
      <c r="C53" s="238" t="s">
        <v>1727</v>
      </c>
      <c r="D53" s="374"/>
      <c r="E53" s="375">
        <f>E52*12</f>
        <v>0</v>
      </c>
      <c r="F53" s="559"/>
      <c r="G53" s="529">
        <f>G52*12</f>
        <v>0</v>
      </c>
      <c r="H53" s="560"/>
      <c r="I53" s="537">
        <f>I52*12</f>
        <v>0</v>
      </c>
      <c r="J53" s="561">
        <f t="shared" si="13"/>
        <v>0</v>
      </c>
      <c r="K53" s="539" t="e">
        <f t="shared" si="14"/>
        <v>#DIV/0!</v>
      </c>
      <c r="L53" s="496"/>
      <c r="M53" s="496"/>
      <c r="N53" s="496"/>
      <c r="O53" s="496"/>
      <c r="P53" s="496"/>
      <c r="Q53" s="496"/>
      <c r="R53" s="496"/>
      <c r="S53" s="496"/>
      <c r="T53" s="496"/>
      <c r="U53" s="496"/>
      <c r="V53" s="496"/>
    </row>
    <row r="54" spans="1:22" s="87" customFormat="1" ht="14.25" customHeight="1" thickTop="1" thickBot="1" x14ac:dyDescent="0.25">
      <c r="A54" s="492"/>
      <c r="B54" s="289"/>
      <c r="C54" s="289"/>
      <c r="D54" s="289"/>
      <c r="E54" s="289"/>
      <c r="F54" s="289"/>
      <c r="G54" s="289"/>
      <c r="H54" s="289"/>
      <c r="I54" s="289"/>
      <c r="J54" s="289"/>
      <c r="K54" s="289"/>
      <c r="L54" s="496"/>
      <c r="M54" s="496"/>
      <c r="N54" s="496"/>
      <c r="O54" s="496"/>
      <c r="P54" s="496"/>
      <c r="Q54" s="496"/>
      <c r="R54" s="496"/>
      <c r="S54" s="496"/>
      <c r="T54" s="496"/>
      <c r="U54" s="496"/>
      <c r="V54" s="496"/>
    </row>
    <row r="55" spans="1:22" ht="14.25" customHeight="1" thickTop="1" x14ac:dyDescent="0.2">
      <c r="A55" s="495"/>
      <c r="B55" s="1095" t="s">
        <v>1842</v>
      </c>
      <c r="C55" s="1096"/>
      <c r="D55" s="1097" t="s">
        <v>1841</v>
      </c>
      <c r="E55" s="1098"/>
      <c r="F55" s="1097" t="s">
        <v>1840</v>
      </c>
      <c r="G55" s="1098"/>
      <c r="H55" s="1097" t="s">
        <v>1839</v>
      </c>
      <c r="I55" s="1098"/>
      <c r="J55" s="1099" t="s">
        <v>1744</v>
      </c>
      <c r="K55" s="1100"/>
      <c r="L55" s="289"/>
      <c r="M55" s="289"/>
      <c r="N55" s="289"/>
      <c r="O55" s="289"/>
      <c r="P55" s="289"/>
      <c r="Q55" s="289"/>
      <c r="R55" s="289"/>
      <c r="S55" s="289"/>
      <c r="T55" s="289"/>
      <c r="U55" s="289"/>
      <c r="V55" s="289"/>
    </row>
    <row r="56" spans="1:22" ht="14.25" customHeight="1" x14ac:dyDescent="0.2">
      <c r="A56" s="495"/>
      <c r="B56" s="501"/>
      <c r="C56" s="502"/>
      <c r="D56" s="370" t="s">
        <v>29</v>
      </c>
      <c r="E56" s="371" t="s">
        <v>94</v>
      </c>
      <c r="F56" s="370" t="s">
        <v>29</v>
      </c>
      <c r="G56" s="371" t="s">
        <v>94</v>
      </c>
      <c r="H56" s="385" t="s">
        <v>29</v>
      </c>
      <c r="I56" s="386" t="s">
        <v>94</v>
      </c>
      <c r="J56" s="295" t="s">
        <v>1746</v>
      </c>
      <c r="K56" s="296" t="s">
        <v>1745</v>
      </c>
      <c r="L56" s="299"/>
      <c r="M56" s="496"/>
      <c r="N56" s="496"/>
      <c r="O56" s="496"/>
      <c r="P56" s="496"/>
      <c r="Q56" s="289"/>
      <c r="R56" s="289"/>
      <c r="S56" s="289"/>
      <c r="T56" s="289"/>
      <c r="U56" s="289"/>
      <c r="V56" s="289"/>
    </row>
    <row r="57" spans="1:22" ht="14.25" customHeight="1" x14ac:dyDescent="0.2">
      <c r="A57" s="495"/>
      <c r="B57" s="500" t="s">
        <v>95</v>
      </c>
      <c r="C57" s="293">
        <f>'DENTAL INTAKE'!F54</f>
        <v>0</v>
      </c>
      <c r="D57" s="391">
        <f>'DENTAL INTAKE'!$G$13</f>
        <v>0</v>
      </c>
      <c r="E57" s="378">
        <f t="shared" ref="E57:E60" si="15">C57*D57</f>
        <v>0</v>
      </c>
      <c r="F57" s="391">
        <f>'DENTAL INTAKE'!$H$13</f>
        <v>0</v>
      </c>
      <c r="G57" s="378">
        <f>C57*F57</f>
        <v>0</v>
      </c>
      <c r="H57" s="388"/>
      <c r="I57" s="387">
        <f>C57*H57</f>
        <v>0</v>
      </c>
      <c r="J57" s="379">
        <f>I57-E57</f>
        <v>0</v>
      </c>
      <c r="K57" s="392" t="e">
        <f>J57/E57</f>
        <v>#DIV/0!</v>
      </c>
      <c r="L57" s="299"/>
      <c r="M57" s="496"/>
      <c r="N57" s="496"/>
      <c r="O57" s="496"/>
      <c r="P57" s="496"/>
      <c r="Q57" s="289"/>
      <c r="R57" s="289"/>
      <c r="S57" s="289"/>
      <c r="T57" s="289"/>
      <c r="U57" s="289"/>
      <c r="V57" s="289"/>
    </row>
    <row r="58" spans="1:22" ht="14.25" customHeight="1" x14ac:dyDescent="0.2">
      <c r="A58" s="495"/>
      <c r="B58" s="500" t="s">
        <v>96</v>
      </c>
      <c r="C58" s="293">
        <f>'DENTAL INTAKE'!F55</f>
        <v>0</v>
      </c>
      <c r="D58" s="391">
        <f>'DENTAL INTAKE'!$G$14</f>
        <v>0</v>
      </c>
      <c r="E58" s="378">
        <f t="shared" si="15"/>
        <v>0</v>
      </c>
      <c r="F58" s="391">
        <f>'DENTAL INTAKE'!$H$14</f>
        <v>0</v>
      </c>
      <c r="G58" s="378">
        <f>C58*F58</f>
        <v>0</v>
      </c>
      <c r="H58" s="388"/>
      <c r="I58" s="387">
        <f>C58*H58</f>
        <v>0</v>
      </c>
      <c r="J58" s="379">
        <f>I58-E58</f>
        <v>0</v>
      </c>
      <c r="K58" s="392" t="e">
        <f>J58/E58</f>
        <v>#DIV/0!</v>
      </c>
      <c r="L58" s="299"/>
      <c r="M58" s="496"/>
      <c r="N58" s="496"/>
      <c r="O58" s="496"/>
      <c r="P58" s="496"/>
      <c r="Q58" s="289"/>
      <c r="R58" s="289"/>
      <c r="S58" s="289"/>
      <c r="T58" s="289"/>
      <c r="U58" s="289"/>
      <c r="V58" s="289"/>
    </row>
    <row r="59" spans="1:22" ht="14.25" customHeight="1" x14ac:dyDescent="0.2">
      <c r="A59" s="495"/>
      <c r="B59" s="500" t="s">
        <v>98</v>
      </c>
      <c r="C59" s="293">
        <f>'DENTAL INTAKE'!F56</f>
        <v>0</v>
      </c>
      <c r="D59" s="391">
        <f>'DENTAL INTAKE'!$G$15</f>
        <v>0</v>
      </c>
      <c r="E59" s="378">
        <f t="shared" si="15"/>
        <v>0</v>
      </c>
      <c r="F59" s="391">
        <f>'DENTAL INTAKE'!$H$15</f>
        <v>0</v>
      </c>
      <c r="G59" s="378">
        <f>C59*F59</f>
        <v>0</v>
      </c>
      <c r="H59" s="388"/>
      <c r="I59" s="387">
        <f>C59*H59</f>
        <v>0</v>
      </c>
      <c r="J59" s="379">
        <f>I59-E59</f>
        <v>0</v>
      </c>
      <c r="K59" s="392" t="e">
        <f>J59/E59</f>
        <v>#DIV/0!</v>
      </c>
      <c r="L59" s="299"/>
      <c r="M59" s="496"/>
      <c r="N59" s="496"/>
      <c r="O59" s="496"/>
      <c r="P59" s="496"/>
      <c r="Q59" s="289"/>
      <c r="R59" s="289"/>
      <c r="S59" s="289"/>
      <c r="T59" s="289"/>
      <c r="U59" s="289"/>
      <c r="V59" s="289"/>
    </row>
    <row r="60" spans="1:22" ht="14.25" customHeight="1" x14ac:dyDescent="0.2">
      <c r="A60" s="495"/>
      <c r="B60" s="500" t="s">
        <v>100</v>
      </c>
      <c r="C60" s="293">
        <f>'DENTAL INTAKE'!F57</f>
        <v>0</v>
      </c>
      <c r="D60" s="391">
        <f>'DENTAL INTAKE'!$G$16</f>
        <v>0</v>
      </c>
      <c r="E60" s="378">
        <f t="shared" si="15"/>
        <v>0</v>
      </c>
      <c r="F60" s="391">
        <f>'DENTAL INTAKE'!$H$16</f>
        <v>0</v>
      </c>
      <c r="G60" s="378">
        <f>C60*F60</f>
        <v>0</v>
      </c>
      <c r="H60" s="388"/>
      <c r="I60" s="387">
        <f>C60*H60</f>
        <v>0</v>
      </c>
      <c r="J60" s="379">
        <f>I60-E60</f>
        <v>0</v>
      </c>
      <c r="K60" s="392" t="e">
        <f>J60/E60</f>
        <v>#DIV/0!</v>
      </c>
      <c r="L60" s="299"/>
      <c r="M60" s="496"/>
      <c r="N60" s="496"/>
      <c r="O60" s="496"/>
      <c r="P60" s="496"/>
      <c r="Q60" s="289"/>
      <c r="R60" s="289"/>
      <c r="S60" s="289"/>
      <c r="T60" s="289"/>
      <c r="U60" s="289"/>
      <c r="V60" s="289"/>
    </row>
    <row r="61" spans="1:22" ht="14.25" customHeight="1" x14ac:dyDescent="0.2">
      <c r="A61" s="495"/>
      <c r="B61" s="241"/>
      <c r="C61" s="238" t="s">
        <v>1726</v>
      </c>
      <c r="D61" s="372"/>
      <c r="E61" s="373">
        <f>SUM(E57:E60)</f>
        <v>0</v>
      </c>
      <c r="F61" s="372"/>
      <c r="G61" s="373">
        <f>SUM(G57:G60)</f>
        <v>0</v>
      </c>
      <c r="H61" s="380"/>
      <c r="I61" s="381">
        <f>SUM(I57:I60)</f>
        <v>0</v>
      </c>
      <c r="J61" s="294"/>
      <c r="K61" s="235" t="e">
        <f>SUM(K57:K60)</f>
        <v>#DIV/0!</v>
      </c>
      <c r="L61" s="299"/>
      <c r="M61" s="496"/>
      <c r="N61" s="496"/>
      <c r="O61" s="496"/>
      <c r="P61" s="496"/>
      <c r="Q61" s="289"/>
      <c r="R61" s="289"/>
      <c r="S61" s="289"/>
      <c r="T61" s="289"/>
      <c r="U61" s="289"/>
      <c r="V61" s="289"/>
    </row>
    <row r="62" spans="1:22" ht="14.25" customHeight="1" x14ac:dyDescent="0.2">
      <c r="A62" s="495"/>
      <c r="B62" s="241"/>
      <c r="C62" s="238" t="s">
        <v>1727</v>
      </c>
      <c r="D62" s="374"/>
      <c r="E62" s="375">
        <f>E61*12</f>
        <v>0</v>
      </c>
      <c r="F62" s="374"/>
      <c r="G62" s="375">
        <f>G61*12</f>
        <v>0</v>
      </c>
      <c r="H62" s="382"/>
      <c r="I62" s="383">
        <f>I61*12</f>
        <v>0</v>
      </c>
      <c r="J62" s="290"/>
      <c r="K62" s="239" t="e">
        <f>K61*12</f>
        <v>#DIV/0!</v>
      </c>
      <c r="L62" s="299"/>
      <c r="M62" s="496"/>
      <c r="N62" s="496"/>
      <c r="O62" s="496"/>
      <c r="P62" s="496"/>
      <c r="Q62" s="289"/>
      <c r="R62" s="289"/>
      <c r="S62" s="289"/>
      <c r="T62" s="289"/>
      <c r="U62" s="289"/>
      <c r="V62" s="289"/>
    </row>
    <row r="63" spans="1:22" ht="13.25" customHeight="1" thickBot="1" x14ac:dyDescent="0.25">
      <c r="A63" s="495"/>
      <c r="B63" s="291"/>
      <c r="C63" s="292"/>
      <c r="D63" s="376"/>
      <c r="E63" s="377"/>
      <c r="F63" s="376"/>
      <c r="G63" s="377"/>
      <c r="H63" s="257" t="s">
        <v>1731</v>
      </c>
      <c r="I63" s="384" t="str">
        <f>IF(I61&lt;1,"",(E62-I62)/E62*-1)</f>
        <v/>
      </c>
      <c r="J63" s="259" t="s">
        <v>1731</v>
      </c>
      <c r="K63" s="256" t="str">
        <f>IF(I61&lt;1,"",(E62-K62)/E62*-1)</f>
        <v/>
      </c>
      <c r="L63" s="299"/>
      <c r="M63" s="496"/>
      <c r="N63" s="496"/>
      <c r="O63" s="496"/>
      <c r="P63" s="496"/>
      <c r="Q63" s="289"/>
      <c r="R63" s="289"/>
      <c r="S63" s="289"/>
      <c r="T63" s="289"/>
      <c r="U63" s="289"/>
      <c r="V63" s="289"/>
    </row>
    <row r="64" spans="1:22" ht="14.25" customHeight="1" thickTop="1" x14ac:dyDescent="0.2">
      <c r="A64" s="495"/>
      <c r="B64" s="495"/>
      <c r="C64" s="495"/>
      <c r="D64" s="495"/>
      <c r="E64" s="495"/>
      <c r="F64" s="495"/>
      <c r="G64" s="495"/>
      <c r="H64" s="495"/>
      <c r="I64" s="495"/>
      <c r="J64" s="495"/>
      <c r="K64" s="495"/>
      <c r="L64" s="495"/>
      <c r="M64" s="289"/>
      <c r="N64" s="289"/>
      <c r="O64" s="289"/>
      <c r="P64" s="289"/>
      <c r="Q64" s="289"/>
      <c r="R64" s="289"/>
      <c r="S64" s="289"/>
      <c r="T64" s="289"/>
      <c r="U64" s="289"/>
      <c r="V64" s="289"/>
    </row>
  </sheetData>
  <mergeCells count="45">
    <mergeCell ref="J25:K25"/>
    <mergeCell ref="J14:K14"/>
    <mergeCell ref="B5:C5"/>
    <mergeCell ref="D5:E5"/>
    <mergeCell ref="F5:G5"/>
    <mergeCell ref="H5:I5"/>
    <mergeCell ref="J5:K5"/>
    <mergeCell ref="D14:E14"/>
    <mergeCell ref="F14:G14"/>
    <mergeCell ref="H14:I14"/>
    <mergeCell ref="B14:C14"/>
    <mergeCell ref="B25:C25"/>
    <mergeCell ref="D25:E25"/>
    <mergeCell ref="F25:G25"/>
    <mergeCell ref="H25:I25"/>
    <mergeCell ref="B46:C46"/>
    <mergeCell ref="D46:E46"/>
    <mergeCell ref="F46:G46"/>
    <mergeCell ref="H46:I46"/>
    <mergeCell ref="J46:K46"/>
    <mergeCell ref="B35:C35"/>
    <mergeCell ref="D35:E35"/>
    <mergeCell ref="F35:G35"/>
    <mergeCell ref="H35:I35"/>
    <mergeCell ref="J35:K35"/>
    <mergeCell ref="N5:O5"/>
    <mergeCell ref="P5:Q5"/>
    <mergeCell ref="R5:S5"/>
    <mergeCell ref="T5:U5"/>
    <mergeCell ref="L15:M15"/>
    <mergeCell ref="N15:O15"/>
    <mergeCell ref="P15:Q15"/>
    <mergeCell ref="R15:S15"/>
    <mergeCell ref="T15:U15"/>
    <mergeCell ref="L5:M5"/>
    <mergeCell ref="B26:C26"/>
    <mergeCell ref="D26:E26"/>
    <mergeCell ref="F26:G26"/>
    <mergeCell ref="H26:I26"/>
    <mergeCell ref="J26:K26"/>
    <mergeCell ref="B55:C55"/>
    <mergeCell ref="D55:E55"/>
    <mergeCell ref="F55:G55"/>
    <mergeCell ref="H55:I55"/>
    <mergeCell ref="J55:K5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407</v>
      </c>
      <c r="H5" s="91"/>
      <c r="I5" s="91" t="s">
        <v>408</v>
      </c>
      <c r="J5" s="91"/>
      <c r="K5" s="91"/>
      <c r="L5" s="91"/>
      <c r="M5" s="91"/>
    </row>
    <row r="6" spans="1:13" x14ac:dyDescent="0.2">
      <c r="E6" s="91" t="s">
        <v>71</v>
      </c>
      <c r="F6" s="91"/>
      <c r="G6" s="91" t="s">
        <v>409</v>
      </c>
      <c r="H6" s="91"/>
      <c r="I6" s="91" t="s">
        <v>409</v>
      </c>
      <c r="J6" s="91"/>
      <c r="K6" s="91" t="s">
        <v>410</v>
      </c>
      <c r="L6" s="91"/>
      <c r="M6" s="91" t="s">
        <v>411</v>
      </c>
    </row>
    <row r="7" spans="1:13" x14ac:dyDescent="0.2">
      <c r="A7" s="1103" t="s">
        <v>36</v>
      </c>
      <c r="B7" s="1103"/>
      <c r="C7" s="1103"/>
      <c r="E7" s="92"/>
      <c r="G7" s="93"/>
      <c r="I7" s="92"/>
      <c r="K7" s="93"/>
      <c r="M7" s="369">
        <f>K7</f>
        <v>0</v>
      </c>
    </row>
    <row r="8" spans="1:13" x14ac:dyDescent="0.2">
      <c r="A8" s="1104" t="s">
        <v>412</v>
      </c>
      <c r="B8" s="1104"/>
      <c r="C8" s="1104"/>
    </row>
    <row r="9" spans="1:13" x14ac:dyDescent="0.2">
      <c r="A9" s="1103" t="s">
        <v>413</v>
      </c>
      <c r="B9" s="1103"/>
      <c r="C9" s="1103"/>
      <c r="E9" s="92"/>
      <c r="G9" s="93"/>
      <c r="I9" s="92"/>
      <c r="K9" s="93"/>
      <c r="M9" s="369">
        <f>K9</f>
        <v>0</v>
      </c>
    </row>
    <row r="10" spans="1:13" x14ac:dyDescent="0.2">
      <c r="A10" s="1104" t="s">
        <v>414</v>
      </c>
      <c r="B10" s="1104"/>
      <c r="C10" s="1104"/>
    </row>
    <row r="11" spans="1:13" x14ac:dyDescent="0.2">
      <c r="A11" s="1103" t="s">
        <v>415</v>
      </c>
      <c r="B11" s="1103"/>
      <c r="C11" s="1103"/>
      <c r="E11" s="92"/>
      <c r="G11" s="93"/>
      <c r="I11" s="92"/>
      <c r="K11" s="93"/>
      <c r="M11" s="369">
        <f>K11</f>
        <v>0</v>
      </c>
    </row>
    <row r="12" spans="1:13" x14ac:dyDescent="0.2">
      <c r="A12" s="1104" t="s">
        <v>416</v>
      </c>
      <c r="B12" s="1104"/>
      <c r="C12" s="1104"/>
    </row>
    <row r="13" spans="1:13" x14ac:dyDescent="0.2">
      <c r="A13" s="1103" t="s">
        <v>417</v>
      </c>
      <c r="B13" s="1103"/>
      <c r="C13" s="1103"/>
      <c r="E13" s="92"/>
      <c r="G13" s="93"/>
      <c r="I13" s="92"/>
      <c r="K13" s="93"/>
      <c r="M13" s="369">
        <f>K13</f>
        <v>0</v>
      </c>
    </row>
    <row r="14" spans="1:13" x14ac:dyDescent="0.2">
      <c r="A14" s="1104" t="s">
        <v>418</v>
      </c>
      <c r="B14" s="1104"/>
      <c r="C14" s="1104"/>
    </row>
    <row r="15" spans="1:13" x14ac:dyDescent="0.2">
      <c r="C15" s="94" t="s">
        <v>419</v>
      </c>
      <c r="D15" s="91"/>
      <c r="E15" s="95" t="s">
        <v>420</v>
      </c>
      <c r="F15" s="91"/>
      <c r="G15" s="94" t="s">
        <v>420</v>
      </c>
      <c r="H15" s="91"/>
      <c r="I15" s="95" t="s">
        <v>420</v>
      </c>
      <c r="J15" s="91"/>
      <c r="K15" s="94" t="s">
        <v>420</v>
      </c>
      <c r="L15" s="91"/>
      <c r="M15" s="95" t="s">
        <v>420</v>
      </c>
    </row>
    <row r="16" spans="1:13" x14ac:dyDescent="0.2">
      <c r="A16" s="93" t="s">
        <v>421</v>
      </c>
      <c r="C16" s="93"/>
      <c r="E16" s="92"/>
      <c r="G16" s="93"/>
      <c r="I16" s="92"/>
      <c r="K16" s="93"/>
      <c r="M16" s="92"/>
    </row>
    <row r="17" spans="1:13" x14ac:dyDescent="0.2">
      <c r="A17" s="89" t="s">
        <v>422</v>
      </c>
    </row>
    <row r="18" spans="1:13" x14ac:dyDescent="0.2">
      <c r="A18" s="93" t="s">
        <v>423</v>
      </c>
      <c r="C18" s="93"/>
      <c r="E18" s="92"/>
      <c r="G18" s="93"/>
      <c r="I18" s="92"/>
      <c r="K18" s="93"/>
      <c r="M18" s="92"/>
    </row>
    <row r="19" spans="1:13" x14ac:dyDescent="0.2">
      <c r="A19" s="89" t="s">
        <v>424</v>
      </c>
    </row>
    <row r="21" spans="1:13" x14ac:dyDescent="0.2">
      <c r="A21" s="96" t="s">
        <v>425</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426</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J21" sqref="J2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427</v>
      </c>
      <c r="C1" s="99"/>
      <c r="D1" s="99"/>
      <c r="E1" s="97"/>
      <c r="F1" s="100"/>
      <c r="G1" s="101"/>
      <c r="H1" s="99"/>
      <c r="J1" s="103"/>
      <c r="K1" s="104"/>
      <c r="L1" s="105"/>
      <c r="M1" s="105"/>
      <c r="N1" s="105"/>
      <c r="O1" s="105"/>
      <c r="P1" s="105"/>
      <c r="AC1" s="102" t="s">
        <v>57</v>
      </c>
      <c r="AD1" s="106"/>
      <c r="AE1" s="102" t="s">
        <v>428</v>
      </c>
      <c r="AF1" s="102" t="s">
        <v>429</v>
      </c>
      <c r="AG1" s="107" t="s">
        <v>430</v>
      </c>
      <c r="AH1" s="102" t="s">
        <v>431</v>
      </c>
      <c r="AI1" s="106" t="s">
        <v>432</v>
      </c>
      <c r="AJ1" s="108" t="s">
        <v>433</v>
      </c>
      <c r="AK1" s="108" t="s">
        <v>434</v>
      </c>
      <c r="AL1" s="108" t="s">
        <v>435</v>
      </c>
      <c r="AM1" s="108" t="s">
        <v>436</v>
      </c>
      <c r="AN1" s="109" t="s">
        <v>437</v>
      </c>
      <c r="AO1" s="110" t="s">
        <v>438</v>
      </c>
      <c r="AP1" s="111" t="s">
        <v>439</v>
      </c>
      <c r="AQ1" s="108" t="s">
        <v>440</v>
      </c>
      <c r="AR1" s="108" t="s">
        <v>441</v>
      </c>
      <c r="AS1" s="109" t="s">
        <v>442</v>
      </c>
      <c r="AT1" s="108" t="s">
        <v>443</v>
      </c>
      <c r="AU1" s="112" t="s">
        <v>444</v>
      </c>
      <c r="AV1" s="112" t="s">
        <v>445</v>
      </c>
      <c r="AW1" s="108" t="s">
        <v>446</v>
      </c>
      <c r="AX1" s="108" t="s">
        <v>435</v>
      </c>
      <c r="AY1" s="108" t="s">
        <v>436</v>
      </c>
      <c r="AZ1" s="108" t="s">
        <v>433</v>
      </c>
      <c r="BA1" s="109" t="s">
        <v>447</v>
      </c>
      <c r="BB1" s="108" t="s">
        <v>438</v>
      </c>
    </row>
    <row r="2" spans="1:54" ht="29" x14ac:dyDescent="0.25">
      <c r="A2" s="97"/>
      <c r="B2" s="1107" t="s">
        <v>448</v>
      </c>
      <c r="C2" s="1107"/>
      <c r="D2" s="99"/>
      <c r="E2" s="97"/>
      <c r="F2" s="1108" t="s">
        <v>449</v>
      </c>
      <c r="G2" s="1108"/>
      <c r="H2" s="99"/>
      <c r="J2" s="103"/>
      <c r="K2" s="104"/>
      <c r="L2" s="105"/>
      <c r="M2" s="105"/>
      <c r="N2" s="105"/>
      <c r="O2" s="105"/>
      <c r="P2" s="105"/>
      <c r="AC2" s="102" t="s">
        <v>63</v>
      </c>
      <c r="AD2" s="113"/>
      <c r="AE2" s="102" t="s">
        <v>450</v>
      </c>
      <c r="AF2" s="102" t="s">
        <v>451</v>
      </c>
      <c r="AG2" s="114">
        <v>0.5</v>
      </c>
      <c r="AH2" s="102" t="s">
        <v>452</v>
      </c>
      <c r="AI2" s="113" t="s">
        <v>453</v>
      </c>
      <c r="AJ2" s="108" t="s">
        <v>454</v>
      </c>
      <c r="AK2" s="108" t="s">
        <v>455</v>
      </c>
      <c r="AL2" s="108" t="s">
        <v>456</v>
      </c>
      <c r="AM2" s="108" t="s">
        <v>457</v>
      </c>
      <c r="AN2" s="109" t="s">
        <v>458</v>
      </c>
      <c r="AO2" s="110" t="s">
        <v>459</v>
      </c>
      <c r="AP2" s="111" t="s">
        <v>460</v>
      </c>
      <c r="AQ2" s="108" t="s">
        <v>461</v>
      </c>
      <c r="AR2" s="108" t="s">
        <v>462</v>
      </c>
      <c r="AS2" s="109" t="s">
        <v>463</v>
      </c>
      <c r="AT2" s="108" t="s">
        <v>464</v>
      </c>
      <c r="AU2" s="112" t="s">
        <v>465</v>
      </c>
      <c r="AV2" s="112"/>
      <c r="AW2" s="108" t="s">
        <v>466</v>
      </c>
      <c r="AX2" s="108" t="s">
        <v>467</v>
      </c>
      <c r="AY2" s="108" t="s">
        <v>468</v>
      </c>
      <c r="AZ2" s="108" t="s">
        <v>469</v>
      </c>
      <c r="BA2" s="109" t="s">
        <v>470</v>
      </c>
      <c r="BB2" s="108" t="s">
        <v>459</v>
      </c>
    </row>
    <row r="3" spans="1:54" x14ac:dyDescent="0.2">
      <c r="A3" s="97"/>
      <c r="B3" s="1109" t="s">
        <v>471</v>
      </c>
      <c r="C3" s="1109"/>
      <c r="D3" s="115"/>
      <c r="E3" s="97"/>
      <c r="F3" s="1109" t="s">
        <v>472</v>
      </c>
      <c r="G3" s="1109"/>
      <c r="H3" s="115"/>
      <c r="J3" s="116"/>
      <c r="K3" s="116"/>
      <c r="L3" s="117"/>
      <c r="M3" s="117"/>
      <c r="N3" s="117"/>
      <c r="O3" s="117"/>
      <c r="P3" s="117"/>
      <c r="AD3" s="113"/>
      <c r="AG3" s="114">
        <v>1</v>
      </c>
      <c r="AH3" s="102" t="s">
        <v>473</v>
      </c>
      <c r="AI3" s="113"/>
      <c r="AJ3" s="108" t="s">
        <v>474</v>
      </c>
      <c r="AK3" s="108" t="s">
        <v>475</v>
      </c>
      <c r="AL3" s="108" t="s">
        <v>467</v>
      </c>
      <c r="AM3" s="108" t="s">
        <v>476</v>
      </c>
      <c r="AN3" s="109" t="s">
        <v>463</v>
      </c>
      <c r="AO3" s="110" t="s">
        <v>477</v>
      </c>
      <c r="AP3" s="111"/>
      <c r="AQ3" s="108" t="s">
        <v>478</v>
      </c>
      <c r="AR3" s="108" t="s">
        <v>479</v>
      </c>
      <c r="AS3" s="109" t="s">
        <v>480</v>
      </c>
      <c r="AT3" s="108" t="s">
        <v>481</v>
      </c>
      <c r="AU3" s="112"/>
      <c r="AV3" s="112"/>
      <c r="AW3" s="108" t="s">
        <v>482</v>
      </c>
      <c r="AX3" s="108" t="s">
        <v>483</v>
      </c>
      <c r="AY3" s="108" t="s">
        <v>484</v>
      </c>
      <c r="AZ3" s="108" t="s">
        <v>485</v>
      </c>
      <c r="BA3" s="109" t="s">
        <v>486</v>
      </c>
      <c r="BB3" s="108" t="s">
        <v>477</v>
      </c>
    </row>
    <row r="4" spans="1:54" ht="16" x14ac:dyDescent="0.2">
      <c r="A4" s="97"/>
      <c r="B4" s="1109"/>
      <c r="C4" s="1109"/>
      <c r="D4" s="115"/>
      <c r="E4" s="97"/>
      <c r="F4" s="1109"/>
      <c r="G4" s="1109"/>
      <c r="H4" s="115"/>
      <c r="J4" s="116"/>
      <c r="K4" s="116"/>
      <c r="L4" s="117"/>
      <c r="M4" s="117"/>
      <c r="N4" s="117"/>
      <c r="O4" s="117"/>
      <c r="P4" s="117"/>
      <c r="AD4" s="113"/>
      <c r="AH4" s="102" t="s">
        <v>487</v>
      </c>
      <c r="AI4" s="113"/>
      <c r="AJ4" s="108" t="s">
        <v>488</v>
      </c>
      <c r="AK4" s="108" t="s">
        <v>489</v>
      </c>
      <c r="AL4" s="108" t="s">
        <v>205</v>
      </c>
      <c r="AM4" s="108" t="s">
        <v>468</v>
      </c>
      <c r="AN4" s="109" t="s">
        <v>480</v>
      </c>
      <c r="AO4" s="110" t="s">
        <v>490</v>
      </c>
      <c r="AQ4" s="108" t="s">
        <v>491</v>
      </c>
      <c r="AR4" s="108" t="s">
        <v>492</v>
      </c>
      <c r="AS4" s="109" t="s">
        <v>493</v>
      </c>
      <c r="AT4" s="108" t="s">
        <v>494</v>
      </c>
      <c r="AU4" s="118"/>
      <c r="AV4" s="118"/>
      <c r="AW4" s="108" t="s">
        <v>495</v>
      </c>
      <c r="AX4" s="108" t="s">
        <v>496</v>
      </c>
      <c r="AY4" s="108" t="s">
        <v>497</v>
      </c>
      <c r="AZ4" s="108" t="s">
        <v>498</v>
      </c>
      <c r="BB4" s="108" t="s">
        <v>499</v>
      </c>
    </row>
    <row r="5" spans="1:54" ht="16" x14ac:dyDescent="0.2">
      <c r="A5" s="97"/>
      <c r="B5" s="1109"/>
      <c r="C5" s="1109"/>
      <c r="D5" s="115"/>
      <c r="E5" s="97"/>
      <c r="F5" s="1109"/>
      <c r="G5" s="1109"/>
      <c r="H5" s="115"/>
      <c r="J5" s="116"/>
      <c r="K5" s="116"/>
      <c r="L5" s="117"/>
      <c r="M5" s="117"/>
      <c r="N5" s="117"/>
      <c r="O5" s="117"/>
      <c r="P5" s="117"/>
      <c r="AD5" s="113"/>
      <c r="AH5" s="102" t="s">
        <v>500</v>
      </c>
      <c r="AI5" s="113"/>
      <c r="AJ5" s="108" t="s">
        <v>225</v>
      </c>
      <c r="AK5" s="108" t="s">
        <v>501</v>
      </c>
      <c r="AL5" s="108" t="s">
        <v>483</v>
      </c>
      <c r="AM5" s="108" t="s">
        <v>502</v>
      </c>
      <c r="AN5" s="109" t="s">
        <v>493</v>
      </c>
      <c r="AO5" s="110" t="s">
        <v>443</v>
      </c>
      <c r="AQ5" s="108" t="s">
        <v>503</v>
      </c>
      <c r="AR5" s="108" t="s">
        <v>504</v>
      </c>
      <c r="AT5" s="108" t="s">
        <v>505</v>
      </c>
      <c r="AU5" s="118"/>
      <c r="AV5" s="118"/>
      <c r="AW5" s="108" t="s">
        <v>506</v>
      </c>
      <c r="AX5" s="108" t="s">
        <v>507</v>
      </c>
      <c r="AY5" s="108" t="s">
        <v>508</v>
      </c>
      <c r="AZ5" s="108" t="s">
        <v>509</v>
      </c>
      <c r="BB5" s="108" t="s">
        <v>510</v>
      </c>
    </row>
    <row r="6" spans="1:54" x14ac:dyDescent="0.2">
      <c r="A6" s="97"/>
      <c r="B6" s="1109"/>
      <c r="C6" s="1109"/>
      <c r="D6" s="115"/>
      <c r="E6" s="97"/>
      <c r="F6" s="1109"/>
      <c r="G6" s="1109"/>
      <c r="H6" s="115"/>
      <c r="J6" s="116"/>
      <c r="K6" s="116"/>
      <c r="L6" s="117"/>
      <c r="M6" s="117"/>
      <c r="N6" s="117"/>
      <c r="O6" s="117"/>
      <c r="P6" s="117"/>
      <c r="AD6" s="113"/>
      <c r="AH6" s="102" t="s">
        <v>511</v>
      </c>
      <c r="AI6" s="113"/>
      <c r="AJ6" s="108" t="s">
        <v>512</v>
      </c>
      <c r="AK6" s="108" t="s">
        <v>513</v>
      </c>
      <c r="AL6" s="108" t="s">
        <v>144</v>
      </c>
      <c r="AM6" s="108" t="s">
        <v>484</v>
      </c>
      <c r="AO6" s="110" t="s">
        <v>514</v>
      </c>
      <c r="AQ6" s="108" t="s">
        <v>515</v>
      </c>
      <c r="AR6" s="108" t="s">
        <v>516</v>
      </c>
      <c r="AT6" s="108" t="s">
        <v>517</v>
      </c>
      <c r="AX6" s="108" t="s">
        <v>456</v>
      </c>
      <c r="AY6" s="108" t="s">
        <v>518</v>
      </c>
      <c r="AZ6" s="108" t="s">
        <v>519</v>
      </c>
      <c r="BB6" s="108" t="s">
        <v>520</v>
      </c>
    </row>
    <row r="7" spans="1:54" ht="16" x14ac:dyDescent="0.2">
      <c r="A7" s="97"/>
      <c r="B7" s="1109"/>
      <c r="C7" s="1109"/>
      <c r="D7" s="115"/>
      <c r="E7" s="97"/>
      <c r="F7" s="1109"/>
      <c r="G7" s="1109"/>
      <c r="H7" s="115"/>
      <c r="J7" s="116"/>
      <c r="K7" s="116"/>
      <c r="L7" s="117"/>
      <c r="M7" s="117"/>
      <c r="N7" s="117"/>
      <c r="O7" s="117"/>
      <c r="P7" s="117"/>
      <c r="AD7" s="113"/>
      <c r="AH7" s="102" t="s">
        <v>521</v>
      </c>
      <c r="AI7" s="113"/>
      <c r="AJ7" s="108" t="s">
        <v>522</v>
      </c>
      <c r="AK7" s="108" t="s">
        <v>523</v>
      </c>
      <c r="AL7" s="108" t="s">
        <v>496</v>
      </c>
      <c r="AM7" s="108" t="s">
        <v>497</v>
      </c>
      <c r="AO7" s="110" t="s">
        <v>524</v>
      </c>
      <c r="AQ7" s="108" t="s">
        <v>525</v>
      </c>
      <c r="AR7" s="108" t="s">
        <v>526</v>
      </c>
      <c r="AT7" s="108" t="s">
        <v>527</v>
      </c>
      <c r="AU7" s="118"/>
      <c r="AV7" s="118"/>
      <c r="AX7" s="108" t="s">
        <v>205</v>
      </c>
      <c r="AY7" s="108" t="s">
        <v>528</v>
      </c>
      <c r="AZ7" s="118"/>
      <c r="BB7" s="108" t="s">
        <v>524</v>
      </c>
    </row>
    <row r="8" spans="1:54" ht="16" x14ac:dyDescent="0.2">
      <c r="A8" s="97"/>
      <c r="B8" s="1109"/>
      <c r="C8" s="1109"/>
      <c r="D8" s="115"/>
      <c r="E8" s="97"/>
      <c r="F8" s="1109"/>
      <c r="G8" s="1109"/>
      <c r="H8" s="115"/>
      <c r="J8" s="119"/>
      <c r="K8" s="120"/>
      <c r="L8" s="121"/>
      <c r="M8" s="121"/>
      <c r="N8" s="121"/>
      <c r="O8" s="121"/>
      <c r="P8" s="121"/>
      <c r="AD8" s="113"/>
      <c r="AH8" s="102" t="s">
        <v>529</v>
      </c>
      <c r="AI8" s="113"/>
      <c r="AJ8" s="108" t="s">
        <v>530</v>
      </c>
      <c r="AK8" s="108" t="s">
        <v>531</v>
      </c>
      <c r="AL8" s="108" t="s">
        <v>214</v>
      </c>
      <c r="AM8" s="108" t="s">
        <v>518</v>
      </c>
      <c r="AO8" s="110" t="s">
        <v>532</v>
      </c>
      <c r="AQ8" s="108" t="s">
        <v>526</v>
      </c>
      <c r="AR8" s="108" t="s">
        <v>533</v>
      </c>
      <c r="AT8" s="108" t="s">
        <v>534</v>
      </c>
      <c r="AU8" s="118"/>
      <c r="AV8" s="118"/>
      <c r="AX8" s="108" t="s">
        <v>144</v>
      </c>
      <c r="AY8" s="108" t="s">
        <v>535</v>
      </c>
      <c r="AZ8" s="118"/>
      <c r="BB8" s="108" t="s">
        <v>536</v>
      </c>
    </row>
    <row r="9" spans="1:54" ht="16" x14ac:dyDescent="0.2">
      <c r="A9" s="97"/>
      <c r="B9" s="1109"/>
      <c r="C9" s="1109"/>
      <c r="D9" s="115"/>
      <c r="E9" s="97"/>
      <c r="F9" s="1109"/>
      <c r="G9" s="1109"/>
      <c r="H9" s="122"/>
      <c r="J9" s="123"/>
      <c r="K9" s="124"/>
      <c r="L9" s="121"/>
      <c r="M9" s="121"/>
      <c r="N9" s="121"/>
      <c r="O9" s="121"/>
      <c r="P9" s="121"/>
      <c r="AD9" s="113"/>
      <c r="AH9" s="102" t="s">
        <v>537</v>
      </c>
      <c r="AI9" s="113"/>
      <c r="AJ9" s="108" t="s">
        <v>538</v>
      </c>
      <c r="AK9" s="108" t="s">
        <v>539</v>
      </c>
      <c r="AL9" s="108" t="s">
        <v>507</v>
      </c>
      <c r="AM9" s="108" t="s">
        <v>528</v>
      </c>
      <c r="AO9" s="110" t="s">
        <v>540</v>
      </c>
      <c r="AQ9" s="125"/>
      <c r="AR9" s="108" t="s">
        <v>541</v>
      </c>
      <c r="AT9" s="118"/>
      <c r="AU9" s="118"/>
      <c r="AV9" s="118"/>
      <c r="AX9" s="108" t="s">
        <v>214</v>
      </c>
      <c r="AY9" s="108" t="s">
        <v>542</v>
      </c>
      <c r="AZ9" s="118"/>
      <c r="BB9" s="108" t="s">
        <v>540</v>
      </c>
    </row>
    <row r="10" spans="1:54" ht="16" x14ac:dyDescent="0.2">
      <c r="A10" s="97"/>
      <c r="B10" s="1109"/>
      <c r="C10" s="1109"/>
      <c r="D10" s="115"/>
      <c r="E10" s="97"/>
      <c r="F10" s="1109"/>
      <c r="G10" s="1109"/>
      <c r="H10" s="122"/>
      <c r="J10" s="126"/>
      <c r="K10" s="120"/>
      <c r="L10" s="127"/>
      <c r="M10" s="127"/>
      <c r="N10" s="127"/>
      <c r="O10" s="127"/>
      <c r="P10" s="127"/>
      <c r="AD10" s="113"/>
      <c r="AH10" s="102" t="s">
        <v>543</v>
      </c>
      <c r="AI10" s="113"/>
      <c r="AJ10" s="108" t="s">
        <v>544</v>
      </c>
      <c r="AK10" s="108" t="s">
        <v>545</v>
      </c>
      <c r="AL10" s="108" t="s">
        <v>546</v>
      </c>
      <c r="AM10" s="108" t="s">
        <v>535</v>
      </c>
      <c r="AO10" s="110" t="s">
        <v>547</v>
      </c>
      <c r="AQ10" s="125"/>
      <c r="AT10" s="118"/>
      <c r="AU10" s="118"/>
      <c r="AV10" s="118"/>
      <c r="AX10" s="108" t="s">
        <v>546</v>
      </c>
      <c r="AY10" s="108" t="s">
        <v>548</v>
      </c>
      <c r="AZ10" s="118"/>
      <c r="BB10" s="108" t="s">
        <v>547</v>
      </c>
    </row>
    <row r="11" spans="1:54" ht="49.5" customHeight="1" thickBot="1" x14ac:dyDescent="0.25">
      <c r="A11" s="97"/>
      <c r="B11" s="1109"/>
      <c r="C11" s="1109"/>
      <c r="D11" s="115"/>
      <c r="E11" s="97"/>
      <c r="F11" s="1109"/>
      <c r="G11" s="1109"/>
      <c r="H11" s="122"/>
      <c r="J11" s="126"/>
      <c r="K11" s="120"/>
      <c r="L11" s="128"/>
      <c r="M11" s="128"/>
      <c r="N11" s="128"/>
      <c r="O11" s="128"/>
      <c r="P11" s="128"/>
      <c r="AD11" s="113"/>
      <c r="AH11" s="102" t="s">
        <v>549</v>
      </c>
      <c r="AI11" s="113"/>
      <c r="AJ11" s="108" t="s">
        <v>550</v>
      </c>
      <c r="AK11" s="108" t="s">
        <v>551</v>
      </c>
      <c r="AL11" s="108" t="s">
        <v>552</v>
      </c>
      <c r="AM11" s="108" t="s">
        <v>542</v>
      </c>
      <c r="AO11" s="110" t="s">
        <v>553</v>
      </c>
      <c r="AX11" s="108" t="s">
        <v>552</v>
      </c>
      <c r="AY11" s="108" t="s">
        <v>554</v>
      </c>
      <c r="AZ11" s="118"/>
      <c r="BB11" s="108" t="s">
        <v>553</v>
      </c>
    </row>
    <row r="12" spans="1:54" ht="16" x14ac:dyDescent="0.2">
      <c r="A12" s="97"/>
      <c r="B12" s="1110" t="s">
        <v>555</v>
      </c>
      <c r="C12" s="1111"/>
      <c r="D12" s="115"/>
      <c r="E12" s="97"/>
      <c r="F12" s="129"/>
      <c r="G12" s="130"/>
      <c r="H12" s="122"/>
      <c r="J12" s="126"/>
      <c r="K12" s="120"/>
      <c r="L12" s="127"/>
      <c r="M12" s="127"/>
      <c r="N12" s="127"/>
      <c r="O12" s="127"/>
      <c r="P12" s="127"/>
      <c r="AD12" s="113"/>
      <c r="AH12" s="102" t="s">
        <v>556</v>
      </c>
      <c r="AI12" s="113"/>
      <c r="AJ12" s="108" t="s">
        <v>501</v>
      </c>
      <c r="AK12" s="108"/>
      <c r="AL12" s="108"/>
      <c r="AM12" s="108" t="s">
        <v>548</v>
      </c>
      <c r="AO12" s="110" t="s">
        <v>557</v>
      </c>
      <c r="AY12" s="108" t="s">
        <v>558</v>
      </c>
      <c r="AZ12" s="118"/>
      <c r="BB12" s="108" t="s">
        <v>557</v>
      </c>
    </row>
    <row r="13" spans="1:54" ht="48.75" customHeight="1" x14ac:dyDescent="0.2">
      <c r="A13" s="97"/>
      <c r="B13" s="1105" t="s">
        <v>559</v>
      </c>
      <c r="C13" s="1106"/>
      <c r="D13" s="122"/>
      <c r="E13" s="97"/>
      <c r="F13" s="131"/>
      <c r="G13" s="132"/>
      <c r="H13" s="122"/>
      <c r="J13" s="126"/>
      <c r="K13" s="120"/>
      <c r="L13" s="121"/>
      <c r="M13" s="121"/>
      <c r="N13" s="121"/>
      <c r="O13" s="121"/>
      <c r="P13" s="121"/>
      <c r="AD13" s="111"/>
      <c r="AH13" s="102" t="s">
        <v>560</v>
      </c>
      <c r="AJ13" s="108" t="s">
        <v>523</v>
      </c>
      <c r="AK13" s="108"/>
      <c r="AM13" s="108" t="s">
        <v>554</v>
      </c>
      <c r="AO13" s="110" t="s">
        <v>505</v>
      </c>
      <c r="AY13" s="108" t="s">
        <v>457</v>
      </c>
      <c r="AZ13" s="118"/>
      <c r="BB13" s="108" t="s">
        <v>505</v>
      </c>
    </row>
    <row r="14" spans="1:54" ht="16" x14ac:dyDescent="0.2">
      <c r="A14" s="97"/>
      <c r="B14" s="1112"/>
      <c r="C14" s="1113"/>
      <c r="D14" s="122"/>
      <c r="E14" s="97"/>
      <c r="F14" s="131"/>
      <c r="G14" s="132"/>
      <c r="H14" s="115"/>
      <c r="J14" s="126"/>
      <c r="K14" s="120"/>
      <c r="L14" s="121"/>
      <c r="M14" s="121"/>
      <c r="N14" s="121"/>
      <c r="O14" s="121"/>
      <c r="P14" s="121"/>
      <c r="AD14" s="111"/>
      <c r="AH14" s="102" t="s">
        <v>561</v>
      </c>
      <c r="AJ14" s="108" t="s">
        <v>539</v>
      </c>
      <c r="AM14" s="108" t="s">
        <v>558</v>
      </c>
      <c r="AO14" s="110" t="s">
        <v>562</v>
      </c>
      <c r="AY14" s="108" t="s">
        <v>476</v>
      </c>
      <c r="AZ14" s="118"/>
      <c r="BB14" s="108" t="s">
        <v>562</v>
      </c>
    </row>
    <row r="15" spans="1:54" ht="16" x14ac:dyDescent="0.2">
      <c r="A15" s="97"/>
      <c r="B15" s="1112"/>
      <c r="C15" s="1113"/>
      <c r="D15" s="122"/>
      <c r="E15" s="97"/>
      <c r="F15" s="131"/>
      <c r="G15" s="132"/>
      <c r="H15" s="115"/>
      <c r="J15" s="126"/>
      <c r="K15" s="120"/>
      <c r="L15" s="121"/>
      <c r="M15" s="121"/>
      <c r="N15" s="121"/>
      <c r="O15" s="121"/>
      <c r="P15" s="121"/>
      <c r="AD15" s="111"/>
      <c r="AH15" s="102" t="s">
        <v>563</v>
      </c>
      <c r="AJ15" s="108" t="s">
        <v>545</v>
      </c>
      <c r="AO15" s="110" t="s">
        <v>564</v>
      </c>
      <c r="AY15" s="108" t="s">
        <v>502</v>
      </c>
      <c r="BB15" s="108" t="s">
        <v>564</v>
      </c>
    </row>
    <row r="16" spans="1:54" ht="16.5" customHeight="1" x14ac:dyDescent="0.2">
      <c r="A16" s="97"/>
      <c r="B16" s="1112"/>
      <c r="C16" s="1113"/>
      <c r="D16" s="122"/>
      <c r="E16" s="97"/>
      <c r="F16" s="131"/>
      <c r="G16" s="132"/>
      <c r="H16" s="115"/>
      <c r="J16" s="126"/>
      <c r="K16" s="120"/>
      <c r="L16" s="121"/>
      <c r="M16" s="121"/>
      <c r="N16" s="121"/>
      <c r="O16" s="121"/>
      <c r="P16" s="121"/>
      <c r="AD16" s="112"/>
      <c r="AH16" s="102" t="s">
        <v>565</v>
      </c>
      <c r="AM16" s="108"/>
      <c r="AO16" s="110" t="s">
        <v>566</v>
      </c>
      <c r="BB16" s="108" t="s">
        <v>567</v>
      </c>
    </row>
    <row r="17" spans="1:54" ht="18.75" customHeight="1" x14ac:dyDescent="0.25">
      <c r="A17" s="97"/>
      <c r="B17" s="133" t="s">
        <v>568</v>
      </c>
      <c r="C17" s="134"/>
      <c r="D17" s="122"/>
      <c r="E17" s="97"/>
      <c r="F17" s="135"/>
      <c r="G17" s="130"/>
      <c r="H17" s="136"/>
      <c r="I17" s="137"/>
      <c r="J17" s="137"/>
      <c r="K17" s="137"/>
      <c r="L17" s="121"/>
      <c r="M17" s="121"/>
      <c r="N17" s="121"/>
      <c r="O17" s="121"/>
      <c r="P17" s="121"/>
      <c r="AD17" s="112"/>
      <c r="AH17" s="102" t="s">
        <v>569</v>
      </c>
      <c r="BB17" s="138"/>
    </row>
    <row r="18" spans="1:54" ht="15" customHeight="1" x14ac:dyDescent="0.2">
      <c r="A18" s="97"/>
      <c r="B18" s="133" t="s">
        <v>570</v>
      </c>
      <c r="C18" s="139"/>
      <c r="D18" s="122"/>
      <c r="E18" s="97"/>
      <c r="F18" s="135"/>
      <c r="G18" s="130"/>
      <c r="H18" s="115"/>
      <c r="K18" s="120"/>
      <c r="L18" s="121"/>
      <c r="M18" s="121"/>
      <c r="N18" s="121"/>
      <c r="O18" s="121"/>
      <c r="P18" s="121"/>
      <c r="AD18" s="112"/>
      <c r="AH18" s="102" t="s">
        <v>571</v>
      </c>
      <c r="BB18" s="138"/>
    </row>
    <row r="19" spans="1:54" ht="19.5" customHeight="1" thickBot="1" x14ac:dyDescent="0.25">
      <c r="A19" s="97"/>
      <c r="B19" s="140" t="s">
        <v>572</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114" t="s">
        <v>573</v>
      </c>
      <c r="C21" s="1114"/>
      <c r="D21" s="1114"/>
      <c r="E21" s="1114"/>
      <c r="F21" s="1114"/>
      <c r="G21" s="1114"/>
      <c r="H21" s="115"/>
    </row>
    <row r="22" spans="1:54" ht="80.25" customHeight="1" x14ac:dyDescent="0.2">
      <c r="A22" s="143"/>
      <c r="B22" s="1115" t="s">
        <v>574</v>
      </c>
      <c r="C22" s="1115"/>
      <c r="D22" s="1115"/>
      <c r="E22" s="1115"/>
      <c r="F22" s="1115"/>
      <c r="G22" s="1115"/>
      <c r="H22" s="97"/>
    </row>
    <row r="23" spans="1:54" ht="19.5" customHeight="1" thickBot="1" x14ac:dyDescent="0.25">
      <c r="A23" s="97"/>
      <c r="B23" s="97"/>
      <c r="C23" s="130"/>
      <c r="D23" s="115"/>
      <c r="E23" s="97"/>
      <c r="F23" s="97"/>
      <c r="G23" s="130"/>
      <c r="H23" s="97"/>
    </row>
    <row r="24" spans="1:54" ht="23.25" customHeight="1" thickBot="1" x14ac:dyDescent="0.25">
      <c r="A24" s="1116" t="s">
        <v>575</v>
      </c>
      <c r="B24" s="144" t="s">
        <v>576</v>
      </c>
      <c r="C24" s="145" t="s">
        <v>577</v>
      </c>
      <c r="D24" s="115"/>
      <c r="E24" s="1116" t="s">
        <v>578</v>
      </c>
      <c r="F24" s="144" t="s">
        <v>576</v>
      </c>
      <c r="G24" s="145" t="s">
        <v>577</v>
      </c>
      <c r="H24" s="97"/>
    </row>
    <row r="25" spans="1:54" ht="23.25" customHeight="1" thickBot="1" x14ac:dyDescent="0.25">
      <c r="A25" s="1117"/>
      <c r="B25" s="146" t="s">
        <v>579</v>
      </c>
      <c r="C25" s="147"/>
      <c r="D25" s="115"/>
      <c r="E25" s="1117"/>
      <c r="F25" s="146" t="s">
        <v>579</v>
      </c>
      <c r="G25" s="147"/>
      <c r="H25" s="97"/>
    </row>
    <row r="26" spans="1:54" ht="30" customHeight="1" thickBot="1" x14ac:dyDescent="0.25">
      <c r="A26" s="1117"/>
      <c r="B26" s="1120" t="s">
        <v>580</v>
      </c>
      <c r="C26" s="1121"/>
      <c r="D26" s="115"/>
      <c r="E26" s="1117"/>
      <c r="F26" s="1120" t="s">
        <v>580</v>
      </c>
      <c r="G26" s="1121"/>
      <c r="H26" s="97"/>
    </row>
    <row r="27" spans="1:54" ht="23.25" customHeight="1" x14ac:dyDescent="0.2">
      <c r="A27" s="1118"/>
      <c r="B27" s="148" t="s">
        <v>36</v>
      </c>
      <c r="C27" s="149"/>
      <c r="D27" s="115"/>
      <c r="E27" s="1118"/>
      <c r="F27" s="148" t="s">
        <v>36</v>
      </c>
      <c r="G27" s="149"/>
      <c r="H27" s="97"/>
    </row>
    <row r="28" spans="1:54" ht="23.25" customHeight="1" x14ac:dyDescent="0.2">
      <c r="A28" s="1118"/>
      <c r="B28" s="150" t="s">
        <v>581</v>
      </c>
      <c r="C28" s="151"/>
      <c r="D28" s="115"/>
      <c r="E28" s="1118"/>
      <c r="F28" s="150" t="s">
        <v>581</v>
      </c>
      <c r="G28" s="151"/>
      <c r="H28" s="97"/>
    </row>
    <row r="29" spans="1:54" ht="23.25" customHeight="1" x14ac:dyDescent="0.2">
      <c r="A29" s="1118"/>
      <c r="B29" s="150" t="s">
        <v>582</v>
      </c>
      <c r="C29" s="151"/>
      <c r="D29" s="97"/>
      <c r="E29" s="1118"/>
      <c r="F29" s="150" t="s">
        <v>582</v>
      </c>
      <c r="G29" s="151"/>
      <c r="H29" s="97"/>
    </row>
    <row r="30" spans="1:54" ht="23.25" customHeight="1" x14ac:dyDescent="0.2">
      <c r="A30" s="1118"/>
      <c r="B30" s="150" t="s">
        <v>583</v>
      </c>
      <c r="C30" s="151"/>
      <c r="D30" s="97"/>
      <c r="E30" s="1118"/>
      <c r="F30" s="150" t="s">
        <v>583</v>
      </c>
      <c r="G30" s="151"/>
      <c r="H30" s="97"/>
    </row>
    <row r="31" spans="1:54" ht="23.25" customHeight="1" x14ac:dyDescent="0.2">
      <c r="A31" s="1118"/>
      <c r="B31" s="150" t="s">
        <v>584</v>
      </c>
      <c r="C31" s="151"/>
      <c r="D31" s="97"/>
      <c r="E31" s="1118"/>
      <c r="F31" s="150" t="s">
        <v>584</v>
      </c>
      <c r="G31" s="151"/>
      <c r="H31" s="115"/>
    </row>
    <row r="32" spans="1:54" ht="23.25" customHeight="1" x14ac:dyDescent="0.2">
      <c r="A32" s="1118"/>
      <c r="B32" s="150" t="s">
        <v>585</v>
      </c>
      <c r="C32" s="151"/>
      <c r="D32" s="97"/>
      <c r="E32" s="1118"/>
      <c r="F32" s="150" t="s">
        <v>585</v>
      </c>
      <c r="G32" s="151"/>
      <c r="H32" s="115"/>
    </row>
    <row r="33" spans="1:11" ht="23.25" customHeight="1" thickBot="1" x14ac:dyDescent="0.25">
      <c r="A33" s="1119"/>
      <c r="B33" s="152" t="s">
        <v>586</v>
      </c>
      <c r="C33" s="153"/>
      <c r="D33" s="97"/>
      <c r="E33" s="1119"/>
      <c r="F33" s="152" t="s">
        <v>586</v>
      </c>
      <c r="G33" s="153"/>
      <c r="H33" s="115"/>
    </row>
    <row r="34" spans="1:11" ht="23.25" customHeight="1" thickBot="1" x14ac:dyDescent="0.25">
      <c r="A34" s="97"/>
      <c r="B34" s="97"/>
      <c r="C34" s="97"/>
      <c r="D34" s="97"/>
      <c r="E34" s="154"/>
      <c r="F34" s="135"/>
      <c r="G34" s="155"/>
      <c r="H34" s="97"/>
    </row>
    <row r="35" spans="1:11" ht="23.25" customHeight="1" thickBot="1" x14ac:dyDescent="0.25">
      <c r="A35" s="1116" t="s">
        <v>587</v>
      </c>
      <c r="B35" s="156" t="s">
        <v>576</v>
      </c>
      <c r="C35" s="145" t="s">
        <v>588</v>
      </c>
      <c r="D35" s="97"/>
      <c r="E35" s="1116" t="s">
        <v>589</v>
      </c>
      <c r="F35" s="156" t="s">
        <v>576</v>
      </c>
      <c r="G35" s="145" t="s">
        <v>588</v>
      </c>
      <c r="H35" s="97"/>
    </row>
    <row r="36" spans="1:11" ht="23.25" customHeight="1" thickBot="1" x14ac:dyDescent="0.25">
      <c r="A36" s="1117"/>
      <c r="B36" s="146" t="s">
        <v>579</v>
      </c>
      <c r="C36" s="147"/>
      <c r="D36" s="115"/>
      <c r="E36" s="1117"/>
      <c r="F36" s="146" t="s">
        <v>579</v>
      </c>
      <c r="G36" s="147"/>
      <c r="H36" s="97"/>
    </row>
    <row r="37" spans="1:11" ht="30" customHeight="1" thickBot="1" x14ac:dyDescent="0.25">
      <c r="A37" s="1117"/>
      <c r="B37" s="1120" t="s">
        <v>580</v>
      </c>
      <c r="C37" s="1121"/>
      <c r="D37" s="115"/>
      <c r="E37" s="1117"/>
      <c r="F37" s="1120" t="s">
        <v>580</v>
      </c>
      <c r="G37" s="1121"/>
      <c r="H37" s="97"/>
    </row>
    <row r="38" spans="1:11" ht="23.25" customHeight="1" x14ac:dyDescent="0.2">
      <c r="A38" s="1118"/>
      <c r="B38" s="148" t="s">
        <v>581</v>
      </c>
      <c r="C38" s="149"/>
      <c r="D38" s="115"/>
      <c r="E38" s="1118"/>
      <c r="F38" s="148" t="s">
        <v>581</v>
      </c>
      <c r="G38" s="149"/>
      <c r="H38" s="97"/>
    </row>
    <row r="39" spans="1:11" ht="23.25" customHeight="1" x14ac:dyDescent="0.2">
      <c r="A39" s="1118"/>
      <c r="B39" s="150" t="s">
        <v>582</v>
      </c>
      <c r="C39" s="151"/>
      <c r="D39" s="115"/>
      <c r="E39" s="1118"/>
      <c r="F39" s="150" t="s">
        <v>582</v>
      </c>
      <c r="G39" s="151"/>
      <c r="H39" s="97"/>
    </row>
    <row r="40" spans="1:11" ht="23.25" customHeight="1" x14ac:dyDescent="0.2">
      <c r="A40" s="1118"/>
      <c r="B40" s="150" t="s">
        <v>583</v>
      </c>
      <c r="C40" s="151"/>
      <c r="D40" s="115"/>
      <c r="E40" s="1118"/>
      <c r="F40" s="150" t="s">
        <v>583</v>
      </c>
      <c r="G40" s="151"/>
      <c r="H40" s="97"/>
    </row>
    <row r="41" spans="1:11" ht="23.25" customHeight="1" x14ac:dyDescent="0.2">
      <c r="A41" s="1118"/>
      <c r="B41" s="150" t="s">
        <v>590</v>
      </c>
      <c r="C41" s="151"/>
      <c r="D41" s="97"/>
      <c r="E41" s="1118"/>
      <c r="F41" s="150" t="s">
        <v>590</v>
      </c>
      <c r="G41" s="151"/>
      <c r="H41" s="97"/>
    </row>
    <row r="42" spans="1:11" ht="23.25" customHeight="1" x14ac:dyDescent="0.2">
      <c r="A42" s="1118"/>
      <c r="B42" s="150" t="s">
        <v>584</v>
      </c>
      <c r="C42" s="151"/>
      <c r="D42" s="97"/>
      <c r="E42" s="1118"/>
      <c r="F42" s="150" t="s">
        <v>584</v>
      </c>
      <c r="G42" s="151"/>
      <c r="H42" s="97"/>
    </row>
    <row r="43" spans="1:11" ht="23.25" customHeight="1" x14ac:dyDescent="0.2">
      <c r="A43" s="1118"/>
      <c r="B43" s="150" t="s">
        <v>585</v>
      </c>
      <c r="C43" s="151"/>
      <c r="D43" s="97"/>
      <c r="E43" s="1118"/>
      <c r="F43" s="150" t="s">
        <v>585</v>
      </c>
      <c r="G43" s="151"/>
      <c r="H43" s="97"/>
    </row>
    <row r="44" spans="1:11" ht="23.25" customHeight="1" thickBot="1" x14ac:dyDescent="0.25">
      <c r="A44" s="1119"/>
      <c r="B44" s="152" t="s">
        <v>586</v>
      </c>
      <c r="C44" s="153"/>
      <c r="D44" s="97"/>
      <c r="E44" s="1119"/>
      <c r="F44" s="152" t="s">
        <v>586</v>
      </c>
      <c r="G44" s="153"/>
      <c r="H44" s="97"/>
    </row>
    <row r="45" spans="1:11" ht="23.25" customHeight="1" thickBot="1" x14ac:dyDescent="0.25">
      <c r="A45" s="97"/>
      <c r="B45" s="97"/>
      <c r="C45" s="97"/>
      <c r="D45" s="97"/>
      <c r="E45" s="97"/>
      <c r="F45" s="97"/>
      <c r="G45" s="97"/>
      <c r="H45" s="97"/>
      <c r="K45" s="157"/>
    </row>
    <row r="46" spans="1:11" ht="71.25" customHeight="1" thickBot="1" x14ac:dyDescent="0.25">
      <c r="A46" s="1116" t="s">
        <v>591</v>
      </c>
      <c r="B46" s="144" t="s">
        <v>576</v>
      </c>
      <c r="C46" s="145" t="s">
        <v>592</v>
      </c>
      <c r="D46" s="97"/>
      <c r="E46" s="1116" t="s">
        <v>593</v>
      </c>
      <c r="F46" s="144" t="s">
        <v>576</v>
      </c>
      <c r="G46" s="145" t="s">
        <v>592</v>
      </c>
      <c r="H46" s="97"/>
    </row>
    <row r="47" spans="1:11" ht="23.25" customHeight="1" thickBot="1" x14ac:dyDescent="0.25">
      <c r="A47" s="1118"/>
      <c r="B47" s="158" t="s">
        <v>579</v>
      </c>
      <c r="C47" s="159"/>
      <c r="D47" s="97"/>
      <c r="E47" s="1118"/>
      <c r="F47" s="158" t="s">
        <v>579</v>
      </c>
      <c r="G47" s="159"/>
      <c r="H47" s="97"/>
    </row>
    <row r="48" spans="1:11" ht="30" customHeight="1" thickBot="1" x14ac:dyDescent="0.25">
      <c r="A48" s="1117"/>
      <c r="B48" s="1120" t="s">
        <v>580</v>
      </c>
      <c r="C48" s="1121"/>
      <c r="D48" s="97"/>
      <c r="E48" s="1117"/>
      <c r="F48" s="1120" t="s">
        <v>580</v>
      </c>
      <c r="G48" s="1121"/>
      <c r="H48" s="97"/>
    </row>
    <row r="49" spans="1:10" ht="23.25" customHeight="1" thickBot="1" x14ac:dyDescent="0.25">
      <c r="A49" s="1118"/>
      <c r="B49" s="160" t="s">
        <v>36</v>
      </c>
      <c r="C49" s="161"/>
      <c r="D49" s="97"/>
      <c r="E49" s="1117"/>
      <c r="F49" s="162" t="s">
        <v>36</v>
      </c>
      <c r="G49" s="163"/>
      <c r="H49" s="97"/>
    </row>
    <row r="50" spans="1:10" ht="23.25" customHeight="1" x14ac:dyDescent="0.2">
      <c r="A50" s="1118"/>
      <c r="B50" s="164" t="s">
        <v>581</v>
      </c>
      <c r="C50" s="165"/>
      <c r="D50" s="97"/>
      <c r="E50" s="1118"/>
      <c r="F50" s="160" t="s">
        <v>581</v>
      </c>
      <c r="G50" s="161"/>
      <c r="H50" s="97"/>
    </row>
    <row r="51" spans="1:10" ht="23.25" customHeight="1" x14ac:dyDescent="0.2">
      <c r="A51" s="1118"/>
      <c r="B51" s="164" t="s">
        <v>584</v>
      </c>
      <c r="C51" s="165"/>
      <c r="D51" s="97"/>
      <c r="E51" s="1118"/>
      <c r="F51" s="164" t="s">
        <v>584</v>
      </c>
      <c r="G51" s="165"/>
      <c r="H51" s="97"/>
      <c r="J51" s="166"/>
    </row>
    <row r="52" spans="1:10" ht="23.25" customHeight="1" x14ac:dyDescent="0.2">
      <c r="A52" s="1118"/>
      <c r="B52" s="164" t="s">
        <v>585</v>
      </c>
      <c r="C52" s="165"/>
      <c r="D52" s="97"/>
      <c r="E52" s="1118"/>
      <c r="F52" s="164" t="s">
        <v>585</v>
      </c>
      <c r="G52" s="165"/>
      <c r="H52" s="97"/>
    </row>
    <row r="53" spans="1:10" ht="23.25" customHeight="1" thickBot="1" x14ac:dyDescent="0.25">
      <c r="A53" s="1119"/>
      <c r="B53" s="167" t="s">
        <v>586</v>
      </c>
      <c r="C53" s="168"/>
      <c r="D53" s="97"/>
      <c r="E53" s="1119"/>
      <c r="F53" s="167" t="s">
        <v>586</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A35:A44"/>
    <mergeCell ref="E35:E44"/>
    <mergeCell ref="B37:C37"/>
    <mergeCell ref="F37:G37"/>
    <mergeCell ref="A46:A53"/>
    <mergeCell ref="E46:E53"/>
    <mergeCell ref="B48:C48"/>
    <mergeCell ref="F48:G48"/>
    <mergeCell ref="B14:C16"/>
    <mergeCell ref="B21:G21"/>
    <mergeCell ref="B22:G22"/>
    <mergeCell ref="A24:A33"/>
    <mergeCell ref="E24:E33"/>
    <mergeCell ref="B26:C26"/>
    <mergeCell ref="F26:G26"/>
    <mergeCell ref="B13:C13"/>
    <mergeCell ref="B2:C2"/>
    <mergeCell ref="F2:G2"/>
    <mergeCell ref="B3:C11"/>
    <mergeCell ref="F3:G11"/>
    <mergeCell ref="B12:C12"/>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594</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595</v>
      </c>
      <c r="C3" s="172"/>
      <c r="D3" s="172"/>
      <c r="E3" s="172"/>
      <c r="F3" s="173" t="s">
        <v>596</v>
      </c>
      <c r="G3" s="170"/>
      <c r="H3" s="170"/>
      <c r="I3" s="170"/>
      <c r="J3" s="170"/>
      <c r="K3" s="170"/>
      <c r="L3" s="170"/>
    </row>
    <row r="4" spans="1:12" ht="16" x14ac:dyDescent="0.2">
      <c r="A4" s="170"/>
      <c r="B4" s="174" t="s">
        <v>597</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598</v>
      </c>
      <c r="C6" s="177"/>
      <c r="D6" s="170"/>
      <c r="E6" s="170"/>
      <c r="F6" s="170"/>
      <c r="G6" s="170"/>
      <c r="H6" s="170"/>
      <c r="I6" s="170"/>
      <c r="J6" s="170"/>
      <c r="K6" s="170"/>
      <c r="L6" s="170"/>
    </row>
    <row r="7" spans="1:12" x14ac:dyDescent="0.2">
      <c r="A7" s="170"/>
      <c r="B7" s="176" t="s">
        <v>599</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650" customFormat="1" ht="29.5" customHeight="1" x14ac:dyDescent="0.2">
      <c r="A1" s="1125" t="s">
        <v>1888</v>
      </c>
      <c r="B1" s="1125"/>
      <c r="C1" s="1125"/>
      <c r="D1" s="1125"/>
      <c r="E1" s="1125"/>
      <c r="F1" s="1125"/>
      <c r="G1" s="1125"/>
      <c r="H1" s="1125"/>
      <c r="I1" s="1125"/>
      <c r="J1" s="1125"/>
    </row>
    <row r="2" spans="1:10" s="652" customFormat="1" ht="16" x14ac:dyDescent="0.2">
      <c r="A2" s="651" t="s">
        <v>1889</v>
      </c>
      <c r="B2" s="1126">
        <f>INTAKE!E5</f>
        <v>0</v>
      </c>
      <c r="C2" s="1127"/>
      <c r="D2" s="1127"/>
      <c r="E2" s="1127"/>
      <c r="F2" s="1127"/>
      <c r="G2" s="1127"/>
      <c r="H2" s="1127"/>
      <c r="I2" s="1127"/>
      <c r="J2" s="1128"/>
    </row>
    <row r="3" spans="1:10" s="652" customFormat="1" ht="16" x14ac:dyDescent="0.2">
      <c r="A3" s="651" t="s">
        <v>11</v>
      </c>
      <c r="B3" s="1129">
        <f>INTAKE!E7</f>
        <v>43101</v>
      </c>
      <c r="C3" s="1130"/>
      <c r="D3" s="1130"/>
      <c r="E3" s="1130"/>
      <c r="F3" s="1130"/>
      <c r="G3" s="1130"/>
      <c r="H3" s="1130"/>
      <c r="I3" s="1130"/>
      <c r="J3" s="1131"/>
    </row>
    <row r="4" spans="1:10" ht="16" x14ac:dyDescent="0.2">
      <c r="A4" s="651" t="s">
        <v>1890</v>
      </c>
      <c r="B4" s="1132">
        <f>INTAKE!E40</f>
        <v>0.04</v>
      </c>
      <c r="C4" s="1133"/>
      <c r="D4" s="1133"/>
      <c r="E4" s="1133"/>
      <c r="F4" s="1133"/>
      <c r="G4" s="1133"/>
      <c r="H4" s="1133"/>
      <c r="I4" s="1133"/>
      <c r="J4" s="1134"/>
    </row>
    <row r="5" spans="1:10" x14ac:dyDescent="0.2">
      <c r="A5" s="653"/>
      <c r="B5" s="654" t="s">
        <v>54</v>
      </c>
      <c r="C5" s="654" t="s">
        <v>55</v>
      </c>
      <c r="D5" s="654" t="s">
        <v>111</v>
      </c>
      <c r="E5" s="654" t="s">
        <v>112</v>
      </c>
      <c r="F5" s="654" t="s">
        <v>113</v>
      </c>
      <c r="G5" s="655"/>
      <c r="H5" s="655"/>
      <c r="I5" s="655"/>
      <c r="J5" s="655"/>
    </row>
    <row r="6" spans="1:10" x14ac:dyDescent="0.2">
      <c r="A6" s="656" t="s">
        <v>1891</v>
      </c>
      <c r="B6" s="657"/>
      <c r="C6" s="657"/>
      <c r="D6" s="657"/>
      <c r="E6" s="657"/>
      <c r="F6" s="657"/>
    </row>
    <row r="7" spans="1:10" ht="16" thickBot="1" x14ac:dyDescent="0.25">
      <c r="A7" s="656" t="s">
        <v>1892</v>
      </c>
      <c r="B7" s="658" t="str">
        <f>IF(B6="","",1)</f>
        <v/>
      </c>
      <c r="C7" s="658" t="str">
        <f t="shared" ref="C7:D7" si="0">IF(C6="","",1)</f>
        <v/>
      </c>
      <c r="D7" s="658" t="str">
        <f t="shared" si="0"/>
        <v/>
      </c>
      <c r="E7" s="658" t="str">
        <f>IF(E6="","",0.5)</f>
        <v/>
      </c>
      <c r="F7" s="658" t="str">
        <f>IF(F6="","",0.5)</f>
        <v/>
      </c>
      <c r="G7" s="658">
        <f>SUM(B7:F7)</f>
        <v>0</v>
      </c>
    </row>
    <row r="8" spans="1:10" ht="31" thickBot="1" x14ac:dyDescent="0.25">
      <c r="A8" s="1135" t="s">
        <v>1893</v>
      </c>
      <c r="B8" s="1136"/>
      <c r="C8" s="1136"/>
      <c r="D8" s="1136"/>
      <c r="E8" s="1137"/>
      <c r="F8" s="659" t="s">
        <v>1894</v>
      </c>
      <c r="G8" s="1135" t="s">
        <v>1895</v>
      </c>
      <c r="H8" s="1136"/>
      <c r="I8" s="1136"/>
      <c r="J8" s="1138"/>
    </row>
    <row r="9" spans="1:10" ht="16" thickBot="1" x14ac:dyDescent="0.25">
      <c r="A9" s="660" t="s">
        <v>1896</v>
      </c>
      <c r="B9" s="661" t="s">
        <v>33</v>
      </c>
      <c r="C9" s="661" t="s">
        <v>1897</v>
      </c>
      <c r="D9" s="661" t="s">
        <v>1898</v>
      </c>
      <c r="E9" s="661" t="s">
        <v>1899</v>
      </c>
      <c r="F9" s="662" t="s">
        <v>1745</v>
      </c>
      <c r="G9" s="661" t="s">
        <v>33</v>
      </c>
      <c r="H9" s="661" t="s">
        <v>1897</v>
      </c>
      <c r="I9" s="661" t="s">
        <v>1898</v>
      </c>
      <c r="J9" s="661" t="s">
        <v>1899</v>
      </c>
    </row>
    <row r="10" spans="1:10" ht="14" customHeight="1" x14ac:dyDescent="0.2">
      <c r="A10" s="663" t="s">
        <v>1900</v>
      </c>
      <c r="B10" s="664">
        <v>100</v>
      </c>
      <c r="C10" s="664">
        <v>200</v>
      </c>
      <c r="D10" s="664">
        <v>300</v>
      </c>
      <c r="E10" s="664">
        <v>400</v>
      </c>
      <c r="F10" s="665">
        <f>$B$4</f>
        <v>0.04</v>
      </c>
      <c r="G10" s="664">
        <f>SUM(B10)-(B10*$G$7%)</f>
        <v>100</v>
      </c>
      <c r="H10" s="664">
        <f t="shared" ref="H10" si="1">SUM(C10)-(C10*$G$7%)</f>
        <v>200</v>
      </c>
      <c r="I10" s="664">
        <f t="shared" ref="I10:I11" si="2">SUM(D10)-(D10*$G$7%)</f>
        <v>300</v>
      </c>
      <c r="J10" s="664">
        <f t="shared" ref="J10:J14" si="3">SUM(E10)-(E10*$G$7%)</f>
        <v>400</v>
      </c>
    </row>
    <row r="11" spans="1:10" ht="14" customHeight="1" x14ac:dyDescent="0.2">
      <c r="A11" s="666"/>
      <c r="B11" s="667"/>
      <c r="C11" s="667"/>
      <c r="D11" s="667"/>
      <c r="E11" s="667"/>
      <c r="F11" s="668">
        <f>$B$4</f>
        <v>0.04</v>
      </c>
      <c r="G11" s="667">
        <f>SUM(B11)-(B11*$G$7%)</f>
        <v>0</v>
      </c>
      <c r="H11" s="667">
        <f t="shared" ref="H11" si="4">SUM(C11)-(C11*$G$7%)</f>
        <v>0</v>
      </c>
      <c r="I11" s="667">
        <f t="shared" si="2"/>
        <v>0</v>
      </c>
      <c r="J11" s="667">
        <f t="shared" si="3"/>
        <v>0</v>
      </c>
    </row>
    <row r="12" spans="1:10" ht="14" customHeight="1" x14ac:dyDescent="0.2">
      <c r="A12" s="666"/>
      <c r="B12" s="667"/>
      <c r="C12" s="667"/>
      <c r="D12" s="667"/>
      <c r="E12" s="667"/>
      <c r="F12" s="668">
        <f t="shared" ref="F12:F17" si="5">$B$4</f>
        <v>0.04</v>
      </c>
      <c r="G12" s="667">
        <f t="shared" ref="G12:I14" si="6">SUM(B12)-(B12*$G$7%)</f>
        <v>0</v>
      </c>
      <c r="H12" s="667">
        <f t="shared" si="6"/>
        <v>0</v>
      </c>
      <c r="I12" s="667">
        <f t="shared" si="6"/>
        <v>0</v>
      </c>
      <c r="J12" s="667">
        <f t="shared" si="3"/>
        <v>0</v>
      </c>
    </row>
    <row r="13" spans="1:10" ht="14" customHeight="1" x14ac:dyDescent="0.2">
      <c r="A13" s="669"/>
      <c r="B13" s="670"/>
      <c r="C13" s="670"/>
      <c r="D13" s="670"/>
      <c r="E13" s="670"/>
      <c r="F13" s="668">
        <f t="shared" si="5"/>
        <v>0.04</v>
      </c>
      <c r="G13" s="667">
        <f t="shared" si="6"/>
        <v>0</v>
      </c>
      <c r="H13" s="667">
        <f t="shared" si="6"/>
        <v>0</v>
      </c>
      <c r="I13" s="667">
        <f t="shared" si="6"/>
        <v>0</v>
      </c>
      <c r="J13" s="667">
        <f t="shared" si="3"/>
        <v>0</v>
      </c>
    </row>
    <row r="14" spans="1:10" ht="14" customHeight="1" x14ac:dyDescent="0.2">
      <c r="A14" s="669"/>
      <c r="B14" s="670"/>
      <c r="C14" s="670"/>
      <c r="D14" s="670"/>
      <c r="E14" s="670"/>
      <c r="F14" s="668">
        <f t="shared" si="5"/>
        <v>0.04</v>
      </c>
      <c r="G14" s="667">
        <f t="shared" si="6"/>
        <v>0</v>
      </c>
      <c r="H14" s="667">
        <f t="shared" si="6"/>
        <v>0</v>
      </c>
      <c r="I14" s="667">
        <f t="shared" si="6"/>
        <v>0</v>
      </c>
      <c r="J14" s="667">
        <f t="shared" si="3"/>
        <v>0</v>
      </c>
    </row>
    <row r="15" spans="1:10" ht="6" customHeight="1" x14ac:dyDescent="0.2">
      <c r="A15" s="671"/>
      <c r="B15" s="672"/>
      <c r="C15" s="672"/>
      <c r="D15" s="672"/>
      <c r="E15" s="672"/>
      <c r="F15" s="673"/>
      <c r="G15" s="674"/>
      <c r="H15" s="674"/>
      <c r="I15" s="674"/>
      <c r="J15" s="675"/>
    </row>
    <row r="16" spans="1:10" ht="14.5" customHeight="1" x14ac:dyDescent="0.2">
      <c r="A16" s="676" t="s">
        <v>1901</v>
      </c>
      <c r="B16" s="677"/>
      <c r="C16" s="677"/>
      <c r="D16" s="677"/>
      <c r="E16" s="677"/>
      <c r="F16" s="668">
        <f t="shared" si="5"/>
        <v>0.04</v>
      </c>
      <c r="G16" s="1122" t="s">
        <v>1902</v>
      </c>
      <c r="H16" s="1123"/>
      <c r="I16" s="1123"/>
      <c r="J16" s="1124"/>
    </row>
    <row r="17" spans="1:10" ht="14.5" customHeight="1" x14ac:dyDescent="0.2">
      <c r="A17" s="676" t="s">
        <v>1901</v>
      </c>
      <c r="B17" s="677"/>
      <c r="C17" s="677"/>
      <c r="D17" s="677"/>
      <c r="E17" s="677"/>
      <c r="F17" s="668">
        <f t="shared" si="5"/>
        <v>0.04</v>
      </c>
      <c r="G17" s="1122" t="s">
        <v>1902</v>
      </c>
      <c r="H17" s="1123"/>
      <c r="I17" s="1123"/>
      <c r="J17" s="1124"/>
    </row>
    <row r="18" spans="1:10" ht="6" customHeight="1" x14ac:dyDescent="0.2">
      <c r="A18" s="671"/>
      <c r="B18" s="672"/>
      <c r="C18" s="672"/>
      <c r="D18" s="672"/>
      <c r="E18" s="672"/>
      <c r="F18" s="673"/>
      <c r="G18" s="674"/>
      <c r="H18" s="674"/>
      <c r="I18" s="674"/>
      <c r="J18" s="675"/>
    </row>
    <row r="19" spans="1:10" x14ac:dyDescent="0.2">
      <c r="A19" s="678" t="s">
        <v>1903</v>
      </c>
      <c r="B19" s="679"/>
      <c r="C19" s="679"/>
      <c r="D19" s="679"/>
      <c r="E19" s="679"/>
      <c r="F19" s="680"/>
      <c r="G19" s="681"/>
      <c r="H19" s="681"/>
      <c r="I19" s="681"/>
      <c r="J19" s="682"/>
    </row>
    <row r="20" spans="1:10" x14ac:dyDescent="0.2">
      <c r="A20" s="683" t="s">
        <v>1904</v>
      </c>
      <c r="B20" s="677"/>
      <c r="C20" s="677"/>
      <c r="D20" s="677"/>
      <c r="E20" s="677"/>
      <c r="F20" s="684"/>
      <c r="G20" s="685"/>
      <c r="H20" s="685"/>
      <c r="I20" s="685"/>
      <c r="J20" s="686"/>
    </row>
    <row r="21" spans="1:10" x14ac:dyDescent="0.2">
      <c r="A21" s="683" t="s">
        <v>55</v>
      </c>
      <c r="B21" s="677"/>
      <c r="C21" s="677"/>
      <c r="D21" s="677"/>
      <c r="E21" s="677"/>
      <c r="F21" s="684"/>
      <c r="G21" s="685"/>
      <c r="H21" s="685"/>
      <c r="I21" s="685"/>
      <c r="J21" s="686"/>
    </row>
    <row r="22" spans="1:10" x14ac:dyDescent="0.2">
      <c r="A22" s="683" t="s">
        <v>1905</v>
      </c>
      <c r="B22" s="677"/>
      <c r="C22" s="677"/>
      <c r="D22" s="677"/>
      <c r="E22" s="677"/>
      <c r="F22" s="684"/>
      <c r="G22" s="685"/>
      <c r="H22" s="685"/>
      <c r="I22" s="685"/>
      <c r="J22" s="686"/>
    </row>
    <row r="23" spans="1:10" x14ac:dyDescent="0.2">
      <c r="A23" s="683" t="s">
        <v>1906</v>
      </c>
      <c r="B23" s="677"/>
      <c r="C23" s="677"/>
      <c r="D23" s="677"/>
      <c r="E23" s="677"/>
      <c r="F23" s="684"/>
      <c r="G23" s="685"/>
      <c r="H23" s="685"/>
      <c r="I23" s="685"/>
      <c r="J23" s="686"/>
    </row>
    <row r="24" spans="1:10" x14ac:dyDescent="0.2">
      <c r="A24" s="683" t="s">
        <v>112</v>
      </c>
      <c r="B24" s="677"/>
      <c r="C24" s="677"/>
      <c r="D24" s="677"/>
      <c r="E24" s="677"/>
      <c r="F24" s="684"/>
      <c r="G24" s="685"/>
      <c r="H24" s="685"/>
      <c r="I24" s="685"/>
      <c r="J24" s="686"/>
    </row>
    <row r="25" spans="1:10" x14ac:dyDescent="0.2">
      <c r="A25" s="683" t="s">
        <v>113</v>
      </c>
      <c r="B25" s="677"/>
      <c r="C25" s="677"/>
      <c r="D25" s="677"/>
      <c r="E25" s="677"/>
      <c r="F25" s="684"/>
      <c r="G25" s="685"/>
      <c r="H25" s="685"/>
      <c r="I25" s="685"/>
      <c r="J25" s="686"/>
    </row>
    <row r="26" spans="1:10" x14ac:dyDescent="0.2">
      <c r="A26" s="683" t="s">
        <v>1907</v>
      </c>
      <c r="B26" s="677"/>
      <c r="C26" s="677"/>
      <c r="D26" s="677"/>
      <c r="E26" s="677"/>
      <c r="F26" s="684"/>
      <c r="G26" s="685"/>
      <c r="H26" s="685"/>
      <c r="I26" s="685"/>
      <c r="J26" s="686"/>
    </row>
    <row r="27" spans="1:10" x14ac:dyDescent="0.2">
      <c r="A27" s="683" t="s">
        <v>1908</v>
      </c>
      <c r="B27" s="677"/>
      <c r="C27" s="677"/>
      <c r="D27" s="677"/>
      <c r="E27" s="677"/>
      <c r="F27" s="684"/>
      <c r="G27" s="685"/>
      <c r="H27" s="685"/>
      <c r="I27" s="685"/>
      <c r="J27" s="686"/>
    </row>
    <row r="28" spans="1:10" x14ac:dyDescent="0.2">
      <c r="A28" s="683" t="s">
        <v>1909</v>
      </c>
      <c r="B28" s="677"/>
      <c r="C28" s="677"/>
      <c r="D28" s="677"/>
      <c r="E28" s="677"/>
      <c r="F28" s="684"/>
      <c r="G28" s="685"/>
      <c r="H28" s="685"/>
      <c r="I28" s="685"/>
      <c r="J28" s="686"/>
    </row>
    <row r="29" spans="1:10" x14ac:dyDescent="0.2">
      <c r="A29" s="683" t="s">
        <v>1910</v>
      </c>
      <c r="B29" s="677"/>
      <c r="C29" s="677"/>
      <c r="D29" s="677"/>
      <c r="E29" s="677"/>
      <c r="F29" s="684"/>
      <c r="G29" s="685"/>
      <c r="H29" s="685"/>
      <c r="I29" s="685"/>
      <c r="J29" s="686"/>
    </row>
    <row r="30" spans="1:10" x14ac:dyDescent="0.2">
      <c r="A30" s="683" t="s">
        <v>1911</v>
      </c>
      <c r="B30" s="677"/>
      <c r="C30" s="677"/>
      <c r="D30" s="677"/>
      <c r="E30" s="677"/>
      <c r="F30" s="684"/>
      <c r="G30" s="685"/>
      <c r="H30" s="685"/>
      <c r="I30" s="685"/>
      <c r="J30" s="686"/>
    </row>
    <row r="31" spans="1:10" ht="16" thickBot="1" x14ac:dyDescent="0.25">
      <c r="A31" s="687"/>
      <c r="B31" s="688"/>
      <c r="C31" s="689"/>
      <c r="D31" s="689"/>
      <c r="E31" s="689"/>
      <c r="F31" s="689"/>
      <c r="G31" s="690"/>
      <c r="H31" s="690"/>
      <c r="I31" s="690"/>
      <c r="J31" s="691"/>
    </row>
    <row r="32" spans="1:10" x14ac:dyDescent="0.2">
      <c r="A32" s="692"/>
    </row>
    <row r="37" spans="8:11" x14ac:dyDescent="0.2">
      <c r="H37" s="693">
        <f t="shared" ref="H37:I37" si="7">B15*0.97</f>
        <v>0</v>
      </c>
      <c r="I37" s="693">
        <f t="shared" si="7"/>
        <v>0</v>
      </c>
      <c r="K37" s="693">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12" sqref="A12:F28"/>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617</v>
      </c>
      <c r="B1" s="179" t="s">
        <v>618</v>
      </c>
      <c r="C1" s="179"/>
    </row>
    <row r="2" spans="1:5" x14ac:dyDescent="0.2">
      <c r="A2" s="181"/>
      <c r="B2" s="181"/>
      <c r="C2" s="181"/>
    </row>
    <row r="3" spans="1:5" x14ac:dyDescent="0.2">
      <c r="A3" s="182" t="s">
        <v>619</v>
      </c>
      <c r="B3" s="180" t="s">
        <v>620</v>
      </c>
    </row>
    <row r="4" spans="1:5" x14ac:dyDescent="0.2">
      <c r="A4" s="182" t="s">
        <v>621</v>
      </c>
      <c r="B4" s="180" t="s">
        <v>622</v>
      </c>
    </row>
    <row r="5" spans="1:5" x14ac:dyDescent="0.2">
      <c r="A5" s="182" t="s">
        <v>623</v>
      </c>
      <c r="B5" s="180" t="s">
        <v>624</v>
      </c>
    </row>
    <row r="6" spans="1:5" x14ac:dyDescent="0.2">
      <c r="A6" s="182" t="s">
        <v>625</v>
      </c>
      <c r="B6" s="183" t="s">
        <v>626</v>
      </c>
      <c r="C6" s="183"/>
    </row>
    <row r="7" spans="1:5" x14ac:dyDescent="0.2">
      <c r="A7" s="182" t="s">
        <v>627</v>
      </c>
      <c r="B7" s="183" t="s">
        <v>628</v>
      </c>
      <c r="C7" s="183"/>
    </row>
    <row r="8" spans="1:5" x14ac:dyDescent="0.2">
      <c r="A8" s="182" t="s">
        <v>629</v>
      </c>
      <c r="B8" s="183" t="s">
        <v>630</v>
      </c>
      <c r="C8" s="183"/>
    </row>
    <row r="9" spans="1:5" x14ac:dyDescent="0.2">
      <c r="A9" s="182" t="s">
        <v>631</v>
      </c>
      <c r="B9" s="180" t="s">
        <v>632</v>
      </c>
    </row>
    <row r="11" spans="1:5" x14ac:dyDescent="0.2">
      <c r="A11" s="184" t="s">
        <v>633</v>
      </c>
      <c r="B11" s="184" t="s">
        <v>634</v>
      </c>
      <c r="C11" s="184" t="s">
        <v>635</v>
      </c>
      <c r="D11" s="185" t="s">
        <v>636</v>
      </c>
      <c r="E11" s="184"/>
    </row>
    <row r="12" spans="1:5" x14ac:dyDescent="0.2">
      <c r="A12" s="183" t="s">
        <v>637</v>
      </c>
      <c r="B12" s="180" t="s">
        <v>638</v>
      </c>
      <c r="C12" s="183" t="s">
        <v>639</v>
      </c>
      <c r="D12" t="s">
        <v>644</v>
      </c>
      <c r="E12" s="183"/>
    </row>
    <row r="13" spans="1:5" x14ac:dyDescent="0.2">
      <c r="A13" s="180" t="s">
        <v>641</v>
      </c>
      <c r="B13" s="180" t="s">
        <v>642</v>
      </c>
      <c r="C13" s="180" t="s">
        <v>643</v>
      </c>
      <c r="D13" s="183" t="s">
        <v>22</v>
      </c>
    </row>
    <row r="14" spans="1:5" x14ac:dyDescent="0.2">
      <c r="A14" s="180" t="s">
        <v>645</v>
      </c>
      <c r="B14" s="183" t="s">
        <v>646</v>
      </c>
      <c r="C14" s="183" t="s">
        <v>647</v>
      </c>
      <c r="D14" t="s">
        <v>658</v>
      </c>
      <c r="E14" s="183"/>
    </row>
    <row r="15" spans="1:5" x14ac:dyDescent="0.2">
      <c r="A15" s="180" t="s">
        <v>649</v>
      </c>
      <c r="B15" s="183" t="s">
        <v>650</v>
      </c>
      <c r="C15" s="183" t="s">
        <v>643</v>
      </c>
      <c r="D15" t="s">
        <v>648</v>
      </c>
      <c r="E15" s="183"/>
    </row>
    <row r="16" spans="1:5" x14ac:dyDescent="0.2">
      <c r="A16" s="180" t="s">
        <v>652</v>
      </c>
      <c r="B16" s="183" t="s">
        <v>653</v>
      </c>
      <c r="C16" s="183" t="s">
        <v>647</v>
      </c>
      <c r="D16" t="s">
        <v>651</v>
      </c>
      <c r="E16" s="183"/>
    </row>
    <row r="17" spans="1:5" x14ac:dyDescent="0.2">
      <c r="A17" s="183" t="s">
        <v>655</v>
      </c>
      <c r="B17" s="183" t="s">
        <v>656</v>
      </c>
      <c r="C17" s="183" t="s">
        <v>657</v>
      </c>
      <c r="D17" t="s">
        <v>654</v>
      </c>
      <c r="E17" s="183"/>
    </row>
    <row r="18" spans="1:5" x14ac:dyDescent="0.2">
      <c r="A18" s="183" t="s">
        <v>16</v>
      </c>
      <c r="B18" s="183" t="s">
        <v>19</v>
      </c>
      <c r="C18" s="183" t="s">
        <v>659</v>
      </c>
      <c r="D18" t="s">
        <v>640</v>
      </c>
      <c r="E18" s="183"/>
    </row>
    <row r="19" spans="1:5" x14ac:dyDescent="0.2">
      <c r="A19" s="183" t="s">
        <v>660</v>
      </c>
      <c r="B19" s="183" t="s">
        <v>661</v>
      </c>
      <c r="C19" s="183" t="s">
        <v>662</v>
      </c>
      <c r="E19" s="183"/>
    </row>
    <row r="20" spans="1:5" x14ac:dyDescent="0.2">
      <c r="A20" s="183" t="s">
        <v>663</v>
      </c>
      <c r="B20" s="183" t="s">
        <v>664</v>
      </c>
      <c r="C20" s="183" t="s">
        <v>662</v>
      </c>
      <c r="E20" s="183"/>
    </row>
    <row r="21" spans="1:5" x14ac:dyDescent="0.2">
      <c r="A21" s="180" t="s">
        <v>665</v>
      </c>
      <c r="B21" s="183" t="s">
        <v>666</v>
      </c>
      <c r="C21" s="183" t="s">
        <v>667</v>
      </c>
      <c r="E21" s="183"/>
    </row>
    <row r="22" spans="1:5" x14ac:dyDescent="0.2">
      <c r="A22" s="180" t="s">
        <v>668</v>
      </c>
      <c r="B22" s="183" t="s">
        <v>669</v>
      </c>
      <c r="C22" s="183" t="s">
        <v>647</v>
      </c>
      <c r="E22" s="183"/>
    </row>
    <row r="23" spans="1:5" x14ac:dyDescent="0.2">
      <c r="A23" s="180" t="s">
        <v>670</v>
      </c>
      <c r="B23" s="183" t="s">
        <v>671</v>
      </c>
      <c r="C23" s="183" t="s">
        <v>647</v>
      </c>
      <c r="E23" s="183"/>
    </row>
    <row r="24" spans="1:5" x14ac:dyDescent="0.2">
      <c r="A24" s="183" t="s">
        <v>672</v>
      </c>
      <c r="B24" s="183" t="s">
        <v>673</v>
      </c>
      <c r="C24" s="183" t="s">
        <v>662</v>
      </c>
      <c r="E24" s="183"/>
    </row>
    <row r="25" spans="1:5" x14ac:dyDescent="0.2">
      <c r="A25" s="180" t="s">
        <v>674</v>
      </c>
      <c r="B25" s="183" t="s">
        <v>675</v>
      </c>
      <c r="C25" s="180" t="s">
        <v>659</v>
      </c>
    </row>
    <row r="26" spans="1:5" x14ac:dyDescent="0.2">
      <c r="A26" s="183" t="s">
        <v>676</v>
      </c>
      <c r="B26" s="183" t="s">
        <v>677</v>
      </c>
      <c r="C26" s="183" t="s">
        <v>678</v>
      </c>
      <c r="E26" s="183"/>
    </row>
    <row r="27" spans="1:5" x14ac:dyDescent="0.2">
      <c r="A27" s="183" t="s">
        <v>679</v>
      </c>
      <c r="B27" s="183" t="s">
        <v>680</v>
      </c>
      <c r="C27" s="183" t="s">
        <v>681</v>
      </c>
    </row>
    <row r="28" spans="1:5" x14ac:dyDescent="0.2">
      <c r="A28" s="180" t="s">
        <v>682</v>
      </c>
      <c r="B28" s="183" t="s">
        <v>650</v>
      </c>
      <c r="C28" s="180" t="s">
        <v>643</v>
      </c>
    </row>
    <row r="29" spans="1:5" x14ac:dyDescent="0.2">
      <c r="A29" s="183"/>
      <c r="B29" s="183"/>
      <c r="C29" s="183"/>
    </row>
    <row r="31" spans="1:5" x14ac:dyDescent="0.2">
      <c r="A31" s="184" t="s">
        <v>683</v>
      </c>
      <c r="B31" s="186"/>
      <c r="C31" s="186"/>
    </row>
    <row r="32" spans="1:5" x14ac:dyDescent="0.2">
      <c r="A32" s="183" t="s">
        <v>684</v>
      </c>
      <c r="B32" s="183" t="s">
        <v>685</v>
      </c>
      <c r="C32" s="183"/>
    </row>
    <row r="33" spans="1:2" x14ac:dyDescent="0.2">
      <c r="A33" s="180" t="s">
        <v>686</v>
      </c>
      <c r="B33" s="180" t="s">
        <v>687</v>
      </c>
    </row>
    <row r="34" spans="1:2" x14ac:dyDescent="0.2">
      <c r="A34" s="180" t="s">
        <v>688</v>
      </c>
      <c r="B34" s="180" t="s">
        <v>689</v>
      </c>
    </row>
    <row r="35" spans="1:2" x14ac:dyDescent="0.2">
      <c r="A35" s="180" t="s">
        <v>690</v>
      </c>
      <c r="B35" s="180" t="s">
        <v>691</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UW</vt:lpstr>
      <vt:lpstr>INTAKE</vt:lpstr>
      <vt:lpstr>SIC Look Up</vt:lpstr>
      <vt:lpstr>EXHIBIT 3 TIER</vt:lpstr>
      <vt:lpstr>EXHIBIT 4 TIER</vt:lpstr>
      <vt:lpstr>RB RATES</vt:lpstr>
      <vt:lpstr>PLANS</vt:lpstr>
      <vt:lpstr>DENTAL INTAKE</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2018-04-27T02:07:37Z</dcterms:modified>
</cp:coreProperties>
</file>